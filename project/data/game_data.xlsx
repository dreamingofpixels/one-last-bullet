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0C233A95-2789-4316-A9A8-C74FB0B66E2B}" xr6:coauthVersionLast="47" xr6:coauthVersionMax="47" xr10:uidLastSave="{00000000-0000-0000-0000-000000000000}"/>
  <bookViews>
    <workbookView xWindow="-120" yWindow="-120" windowWidth="38640" windowHeight="21120" tabRatio="696" activeTab="3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G18" i="1"/>
  <c r="H18" i="1" s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5" i="1" l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<sst xmlns="http://schemas.openxmlformats.org/spreadsheetml/2006/main" count="675" uniqueCount="308">
  <si>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</si>
  <si>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</si>
  <si>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</si>
  <si>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</si>
  <si>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</si>
  <si>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</si>
  <si>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</si>
  <si>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</si>
  <si>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</si>
  <si>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</si>
  <si>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</si>
  <si>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</si>
  <si>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</si>
  <si>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</si>
  <si>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</si>
  <si>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</si>
  <si>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</si>
  <si>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</si>
  <si>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</si>
  <si>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</si>
  <si>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</si>
  <si>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</si>
  <si>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</si>
  <si>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</si>
  <si>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</si>
  <si>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</si>
  <si>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</si>
  <si>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</si>
  <si>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</si>
  <si>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</si>
  <si>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</si>
  <si>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</si>
  <si>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</si>
  <si>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</si>
  <si>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</si>
  <si>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</si>
  <si>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</si>
  <si>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</si>
  <si>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</si>
  <si>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</si>
  <si>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</si>
  <si>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</si>
  <si>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</si>
  <si>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</si>
  <si>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</si>
  <si>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</si>
  <si>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</si>
  <si>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</si>
  <si>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</si>
  <si>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</si>
  <si>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</si>
  <si>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</si>
  <si>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</si>
  <si>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</si>
  <si>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</si>
  <si>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</si>
  <si>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</si>
  <si>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</si>
  <si>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</si>
  <si>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</si>
  <si>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</si>
  <si>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</si>
  <si>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</si>
  <si>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</si>
  <si>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</si>
  <si>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</si>
  <si>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</si>
  <si>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</si>
  <si>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</si>
  <si>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</si>
  <si>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</si>
  <si>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</si>
  <si>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</si>
  <si>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</si>
  <si>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</si>
  <si>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</si>
  <si>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</si>
  <si>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</si>
  <si>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</si>
  <si>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</si>
  <si>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</si>
  <si>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</si>
  <si>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</si>
  <si>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</si>
  <si>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</si>
  <si>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</si>
  <si>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</si>
  <si>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</si>
  <si>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</si>
  <si>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</si>
  <si>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</si>
  <si>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</si>
  <si>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</si>
  <si>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</si>
  <si>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</si>
  <si>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</si>
  <si>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</si>
  <si>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</si>
  <si>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</si>
  <si>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While holding a glyph, inflict 5 of that glyphs corresponding elemental status to any hit enemies (burn, chill, shock or poison)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</si>
  <si>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</si>
  <si>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</si>
  <si>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</si>
  <si>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</si>
  <si>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</si>
  <si>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</si>
  <si>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</si>
  <si>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</si>
  <si>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</si>
  <si>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</si>
  <si>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</si>
  <si>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</si>
  <si>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</si>
  <si>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</si>
  <si>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</si>
  <si>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</si>
  <si>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</si>
  <si>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</si>
  <si>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</si>
  <si>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</si>
  <si>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</si>
  <si>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</si>
  <si>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</si>
  <si>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</si>
  <si>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</si>
  <si>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</si>
  <si>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</si>
  <si>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</si>
  <si>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</si>
  <si>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</si>
  <si>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</si>
  <si>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</si>
  <si>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</si>
  <si>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</si>
  <si>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</si>
  <si>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</si>
  <si>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</si>
  <si>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</si>
  <si>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</si>
  <si>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</si>
  <si>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</si>
  <si>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</si>
  <si>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</si>
  <si>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</si>
  <si>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</si>
  <si>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</si>
  <si>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</si>
  <si>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</si>
  <si>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</si>
  <si>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</si>
  <si>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</si>
  <si>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</si>
  <si>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</si>
  <si>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</si>
  <si>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</si>
  <si>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</si>
  <si>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</si>
  <si>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</si>
  <si>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</si>
  <si>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</si>
  <si>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</si>
  <si>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</si>
  <si>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</si>
  <si>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</si>
  <si>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</si>
  <si>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</si>
  <si>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</si>
  <si>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</si>
  <si>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</si>
  <si>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</si>
  <si>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</si>
  <si>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</si>
  <si>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</si>
  <si>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</si>
  <si>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</si>
  <si>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</si>
  <si>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</si>
  <si>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</si>
  <si>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</si>
  <si>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</si>
  <si>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</si>
  <si>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</si>
  <si>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</si>
  <si>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</si>
  <si>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</si>
  <si>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</si>
  <si>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</si>
  <si>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</si>
  <si>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</si>
  <si>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</si>
  <si>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</si>
  <si>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</si>
  <si>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</si>
  <si>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</si>
  <si>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</si>
  <si>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</si>
  <si>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</si>
  <si>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</si>
  <si>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</si>
  <si>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</si>
  <si>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</si>
  <si>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</si>
  <si>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</si>
  <si>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</si>
  <si>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</si>
  <si>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</si>
  <si>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</si>
  <si>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</si>
  <si>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</si>
  <si>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</si>
  <si>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</si>
  <si>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</si>
  <si>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</si>
  <si>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</si>
  <si>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</si>
  <si>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</si>
  <si>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</si>
  <si>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</si>
  <si>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</si>
  <si>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</si>
  <si>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</si>
  <si>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</si>
  <si>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</si>
  <si>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</si>
  <si>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</si>
  <si>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</si>
  <si>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</si>
  <si>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</si>
  <si>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</si>
  <si>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</si>
  <si>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</si>
  <si>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</si>
  <si>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</si>
  <si>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</si>
  <si>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</si>
  <si>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</si>
  <si>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</si>
  <si>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</si>
  <si>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</si>
  <si>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</si>
  <si>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</si>
  <si>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</si>
  <si>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</si>
  <si>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</si>
  <si>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</si>
  <si>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</si>
  <si>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</si>
  <si>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</si>
  <si>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</si>
  <si>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</si>
  <si>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</si>
  <si>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</si>
  <si>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</si>
  <si>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</si>
  <si>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</si>
  <si>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</si>
  <si>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</si>
  <si>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</si>
  <si>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</si>
  <si>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</si>
  <si>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</si>
  <si>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</si>
  <si>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</si>
  <si>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</si>
  <si>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</si>
  <si>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</si>
  <si>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</si>
  <si>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</si>
  <si>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</si>
  <si>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</si>
  <si>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</si>
  <si>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</si>
  <si>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</si>
  <si>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</si>
  <si>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</si>
  <si>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</si>
  <si>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</si>
  <si>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</si>
  <si>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</si>
  <si>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</si>
  <si>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</si>
  <si>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</si>
  <si>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</si>
  <si>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</si>
  <si>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</si>
  <si>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</si>
  <si>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</si>
  <si>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Droped glyphs gets a shield protecting against one damage instance</t>
  </si>
  <si>
    <t>Gets 5% damage increase for each dropped glyph</t>
  </si>
  <si>
    <t>Enters and haunts enemies and deal its damage per second to them. Once dead, exits in a random direction.</t>
  </si>
  <si>
    <t>Seeks glyphs out and picks them up instead of damaging them. Seeks out the summoning circle and drops them near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</si>
  <si>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</si>
  <si>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</si>
  <si>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</si>
  <si>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</si>
  <si>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</si>
  <si>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</si>
  <si>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</si>
  <si>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</si>
  <si>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</si>
  <si>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</si>
  <si>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</si>
  <si>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Spews magma around it. Magma inflicts Burn on passing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</si>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</sst>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9" sqref="C9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300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289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301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296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290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90</v>
      </c>
      <c r="O8">
        <v>3</v>
      </c>
      <c r="P8" s="8">
        <v>0.05</v>
      </c>
      <c r="Q8" s="8">
        <v>0.2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0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107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284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259</v>
      </c>
      <c r="B12" t="str">
        <f t="shared" si="0"/>
        <v>Vulcano</v>
      </c>
      <c r="C12" t="s">
        <v>302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110</v>
      </c>
      <c r="V12" t="str">
        <f>"res://entities/orbs/blank/"&amp;A12&amp;"_orb.tscn"</f>
        <v>res://entities/orbs/blank/vulcano_orb.tscn</v>
      </c>
    </row>
    <row r="13" spans="1:23" x14ac:dyDescent="0.25">
      <c r="A13" t="s">
        <v>260</v>
      </c>
      <c r="B13" t="str">
        <f t="shared" ref="B13:B44" si="4">PROPER(SUBSTITUTE(A13,"_"," "))</f>
        <v>Lure</v>
      </c>
      <c r="C13" t="s">
        <v>261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262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</row>
    <row r="15" spans="1:23" x14ac:dyDescent="0.25">
      <c r="A15" t="s">
        <v>263</v>
      </c>
      <c r="B15" t="str">
        <f t="shared" si="4"/>
        <v>Hunger</v>
      </c>
      <c r="C15" t="s">
        <v>293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264</v>
      </c>
      <c r="B16" t="str">
        <f t="shared" si="4"/>
        <v>Vengance</v>
      </c>
      <c r="C16" t="s">
        <v>265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136</v>
      </c>
    </row>
    <row r="17" spans="1:8" x14ac:dyDescent="0.25">
      <c r="A17" t="s">
        <v>266</v>
      </c>
      <c r="B17" t="str">
        <f t="shared" si="4"/>
        <v>Hunter</v>
      </c>
      <c r="C17" t="s">
        <v>267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A18" t="s">
        <v>294</v>
      </c>
      <c r="B18" t="str">
        <f t="shared" si="4"/>
        <v>Nova</v>
      </c>
      <c r="C18" t="s">
        <v>295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1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E11" sqref="E1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299</v>
      </c>
      <c r="B11" t="str">
        <f t="shared" si="0"/>
        <v>Spore</v>
      </c>
      <c r="C11" t="s">
        <v>298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282</v>
      </c>
    </row>
    <row r="3" spans="1:3" x14ac:dyDescent="0.25">
      <c r="A3" t="s">
        <v>14</v>
      </c>
      <c r="B3" t="str">
        <f t="shared" si="0"/>
        <v>Splash</v>
      </c>
      <c r="C3" t="s">
        <v>274</v>
      </c>
    </row>
    <row r="4" spans="1:3" x14ac:dyDescent="0.25">
      <c r="A4" t="s">
        <v>16</v>
      </c>
      <c r="B4" t="str">
        <f t="shared" si="0"/>
        <v>Burn</v>
      </c>
      <c r="C4" t="s">
        <v>281</v>
      </c>
    </row>
    <row r="5" spans="1:3" x14ac:dyDescent="0.25">
      <c r="A5" t="s">
        <v>9</v>
      </c>
      <c r="B5" t="str">
        <f t="shared" si="0"/>
        <v>Self Damage</v>
      </c>
      <c r="C5" t="s">
        <v>283</v>
      </c>
    </row>
    <row r="6" spans="1:3" x14ac:dyDescent="0.25">
      <c r="A6" t="s">
        <v>15</v>
      </c>
      <c r="B6" t="str">
        <f t="shared" si="0"/>
        <v>Glyph Drop</v>
      </c>
      <c r="C6" t="s">
        <v>277</v>
      </c>
    </row>
    <row r="7" spans="1:3" x14ac:dyDescent="0.25">
      <c r="A7" t="s">
        <v>17</v>
      </c>
      <c r="B7" t="str">
        <f t="shared" si="0"/>
        <v>Chill</v>
      </c>
      <c r="C7" t="s">
        <v>279</v>
      </c>
    </row>
    <row r="8" spans="1:3" x14ac:dyDescent="0.25">
      <c r="A8" t="s">
        <v>10</v>
      </c>
      <c r="B8" t="str">
        <f t="shared" si="0"/>
        <v>Crit Chance</v>
      </c>
      <c r="C8" t="s">
        <v>275</v>
      </c>
    </row>
    <row r="9" spans="1:3" x14ac:dyDescent="0.25">
      <c r="A9" t="s">
        <v>12</v>
      </c>
      <c r="B9" t="str">
        <f t="shared" si="0"/>
        <v>Speed</v>
      </c>
      <c r="C9" t="s">
        <v>273</v>
      </c>
    </row>
    <row r="10" spans="1:3" x14ac:dyDescent="0.25">
      <c r="A10" t="s">
        <v>18</v>
      </c>
      <c r="B10" t="str">
        <f t="shared" si="0"/>
        <v>Shock</v>
      </c>
      <c r="C10" t="s">
        <v>280</v>
      </c>
    </row>
    <row r="11" spans="1:3" x14ac:dyDescent="0.25">
      <c r="A11" t="s">
        <v>13</v>
      </c>
      <c r="B11" t="str">
        <f t="shared" si="0"/>
        <v>Weight</v>
      </c>
      <c r="C11" t="s">
        <v>278</v>
      </c>
    </row>
    <row r="12" spans="1:3" x14ac:dyDescent="0.25">
      <c r="A12" t="s">
        <v>11</v>
      </c>
      <c r="B12" t="str">
        <f t="shared" si="0"/>
        <v>Crit Damage</v>
      </c>
      <c r="C12" t="s">
        <v>276</v>
      </c>
    </row>
    <row r="13" spans="1:3" x14ac:dyDescent="0.25">
      <c r="A13" t="s">
        <v>66</v>
      </c>
      <c r="B13" t="str">
        <f t="shared" si="0"/>
        <v>Blight</v>
      </c>
      <c r="C13" t="s">
        <v>297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tabSelected="1" workbookViewId="0">
      <selection activeCell="D8" sqref="D8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6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307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306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305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304</v>
      </c>
      <c r="H15" t="str">
        <f t="shared" si="1"/>
        <v/>
      </c>
      <c r="I15" t="b">
        <v>0</v>
      </c>
    </row>
    <row r="16" spans="1:9" x14ac:dyDescent="0.25">
      <c r="A16" t="s">
        <v>285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288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286</v>
      </c>
      <c r="B18" t="str">
        <f t="shared" si="0"/>
        <v>Secure</v>
      </c>
      <c r="C18" t="s">
        <v>35</v>
      </c>
      <c r="D18" t="s">
        <v>287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99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100</v>
      </c>
      <c r="B20" t="str">
        <f t="shared" si="0"/>
        <v>Retribution</v>
      </c>
      <c r="C20" t="s">
        <v>36</v>
      </c>
      <c r="D20" t="s">
        <v>101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102</v>
      </c>
      <c r="B21" t="str">
        <f t="shared" si="0"/>
        <v>Flexible</v>
      </c>
      <c r="C21" t="s">
        <v>36</v>
      </c>
      <c r="D21" t="s">
        <v>103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104</v>
      </c>
      <c r="B22" t="str">
        <f t="shared" si="0"/>
        <v>Shield</v>
      </c>
      <c r="C22" t="s">
        <v>36</v>
      </c>
      <c r="D22" t="s">
        <v>105</v>
      </c>
      <c r="H22" t="str">
        <f t="shared" si="1"/>
        <v/>
      </c>
      <c r="I22" t="b">
        <v>0</v>
      </c>
    </row>
    <row r="23" spans="1:9" x14ac:dyDescent="0.25">
      <c r="A23" t="s">
        <v>272</v>
      </c>
      <c r="B23" t="str">
        <f t="shared" si="0"/>
        <v>Experience</v>
      </c>
      <c r="C23" t="s">
        <v>266</v>
      </c>
      <c r="D23" t="s">
        <v>268</v>
      </c>
      <c r="H23" t="str">
        <f t="shared" si="1"/>
        <v/>
      </c>
      <c r="I23" t="b">
        <v>0</v>
      </c>
    </row>
    <row r="24" spans="1:9" x14ac:dyDescent="0.25">
      <c r="A24" t="s">
        <v>270</v>
      </c>
      <c r="B24" t="str">
        <f t="shared" si="0"/>
        <v>Stalk</v>
      </c>
      <c r="C24" t="s">
        <v>266</v>
      </c>
      <c r="D24" t="s">
        <v>269</v>
      </c>
      <c r="H24" t="str">
        <f t="shared" si="1"/>
        <v/>
      </c>
      <c r="I24" t="b">
        <v>0</v>
      </c>
    </row>
    <row r="25" spans="1:9" x14ac:dyDescent="0.25">
      <c r="A25" t="s">
        <v>271</v>
      </c>
      <c r="B25" t="str">
        <f t="shared" si="0"/>
        <v>Fright</v>
      </c>
      <c r="C25" t="s">
        <v>266</v>
      </c>
      <c r="D25" t="s">
        <v>303</v>
      </c>
      <c r="H25" t="str">
        <f t="shared" si="1"/>
        <v/>
      </c>
      <c r="I25" t="b">
        <v>0</v>
      </c>
    </row>
    <row r="26" spans="1:9" x14ac:dyDescent="0.25">
      <c r="A26" t="s">
        <v>291</v>
      </c>
      <c r="B26" t="str">
        <f t="shared" si="0"/>
        <v>Gravity</v>
      </c>
      <c r="C26" t="s">
        <v>263</v>
      </c>
      <c r="D26" t="s">
        <v>292</v>
      </c>
      <c r="H26" t="str">
        <f t="shared" si="1"/>
        <v/>
      </c>
    </row>
    <row r="27" spans="1:9" x14ac:dyDescent="0.25">
      <c r="H27" t="str">
        <f t="shared" si="1"/>
        <v/>
      </c>
    </row>
    <row r="28" spans="1:9" x14ac:dyDescent="0.25">
      <c r="H28" t="str">
        <f t="shared" si="1"/>
        <v/>
      </c>
    </row>
    <row r="29" spans="1:9" x14ac:dyDescent="0.25">
      <c r="H29" t="str">
        <f t="shared" si="1"/>
        <v/>
      </c>
    </row>
    <row r="30" spans="1:9" x14ac:dyDescent="0.25">
      <c r="H30" t="str">
        <f t="shared" si="1"/>
        <v/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106</v>
      </c>
    </row>
    <row r="3" spans="1:3" x14ac:dyDescent="0.25">
      <c r="A3" t="s">
        <v>107</v>
      </c>
      <c r="B3" t="str">
        <f t="shared" si="0"/>
        <v>Attracted</v>
      </c>
      <c r="C3" t="s">
        <v>108</v>
      </c>
    </row>
    <row r="4" spans="1:3" x14ac:dyDescent="0.25">
      <c r="A4" t="s">
        <v>41</v>
      </c>
      <c r="B4" t="str">
        <f t="shared" si="0"/>
        <v>Spite</v>
      </c>
      <c r="C4" t="s">
        <v>109</v>
      </c>
    </row>
    <row r="5" spans="1:3" x14ac:dyDescent="0.25">
      <c r="A5" t="s">
        <v>110</v>
      </c>
      <c r="B5" t="str">
        <f t="shared" si="0"/>
        <v>Rooted</v>
      </c>
      <c r="C5" t="s">
        <v>111</v>
      </c>
    </row>
    <row r="6" spans="1:3" x14ac:dyDescent="0.25">
      <c r="A6" t="s">
        <v>112</v>
      </c>
      <c r="B6" t="str">
        <f t="shared" si="0"/>
        <v>Patrol</v>
      </c>
      <c r="C6" t="s">
        <v>113</v>
      </c>
    </row>
    <row r="7" spans="1:3" x14ac:dyDescent="0.25">
      <c r="A7" t="s">
        <v>114</v>
      </c>
      <c r="B7" t="str">
        <f t="shared" si="0"/>
        <v>Familiar</v>
      </c>
      <c r="C7" t="s">
        <v>115</v>
      </c>
    </row>
    <row r="8" spans="1:3" x14ac:dyDescent="0.25">
      <c r="A8" t="s">
        <v>116</v>
      </c>
      <c r="B8" t="str">
        <f t="shared" si="0"/>
        <v>Rail</v>
      </c>
      <c r="C8" t="s">
        <v>117</v>
      </c>
    </row>
    <row r="9" spans="1:3" x14ac:dyDescent="0.25">
      <c r="A9" t="s">
        <v>118</v>
      </c>
      <c r="B9" t="str">
        <f t="shared" si="0"/>
        <v>Tide</v>
      </c>
      <c r="C9" t="s">
        <v>119</v>
      </c>
    </row>
    <row r="10" spans="1:3" x14ac:dyDescent="0.25">
      <c r="A10" t="s">
        <v>120</v>
      </c>
      <c r="B10" t="str">
        <f t="shared" si="0"/>
        <v>Blink</v>
      </c>
      <c r="C10" t="s">
        <v>121</v>
      </c>
    </row>
    <row r="11" spans="1:3" x14ac:dyDescent="0.25">
      <c r="A11" t="s">
        <v>122</v>
      </c>
      <c r="B11" t="str">
        <f t="shared" si="0"/>
        <v>Loyal</v>
      </c>
      <c r="C11" t="s">
        <v>123</v>
      </c>
    </row>
    <row r="12" spans="1:3" x14ac:dyDescent="0.25">
      <c r="A12" t="s">
        <v>124</v>
      </c>
      <c r="B12" t="str">
        <f t="shared" si="0"/>
        <v>Hexed</v>
      </c>
      <c r="C12" t="s">
        <v>125</v>
      </c>
    </row>
    <row r="13" spans="1:3" x14ac:dyDescent="0.25">
      <c r="A13" t="s">
        <v>126</v>
      </c>
      <c r="B13" t="str">
        <f t="shared" si="0"/>
        <v>Stalker</v>
      </c>
      <c r="C13" t="s">
        <v>127</v>
      </c>
    </row>
    <row r="14" spans="1:3" x14ac:dyDescent="0.25">
      <c r="A14" t="s">
        <v>128</v>
      </c>
      <c r="B14" t="str">
        <f t="shared" si="0"/>
        <v>Herd</v>
      </c>
      <c r="C14" t="s">
        <v>129</v>
      </c>
    </row>
    <row r="15" spans="1:3" x14ac:dyDescent="0.25">
      <c r="A15" t="s">
        <v>130</v>
      </c>
      <c r="B15" t="str">
        <f t="shared" si="0"/>
        <v>Greedy</v>
      </c>
      <c r="C15" t="s">
        <v>131</v>
      </c>
    </row>
    <row r="16" spans="1:3" x14ac:dyDescent="0.25">
      <c r="A16" t="s">
        <v>132</v>
      </c>
      <c r="B16" t="str">
        <f t="shared" si="0"/>
        <v>Oathbound</v>
      </c>
      <c r="C16" t="s">
        <v>133</v>
      </c>
    </row>
    <row r="17" spans="1:3" x14ac:dyDescent="0.25">
      <c r="A17" t="s">
        <v>134</v>
      </c>
      <c r="B17" t="str">
        <f t="shared" si="0"/>
        <v>Echo</v>
      </c>
      <c r="C17" t="s">
        <v>135</v>
      </c>
    </row>
    <row r="18" spans="1:3" x14ac:dyDescent="0.25">
      <c r="A18" t="s">
        <v>136</v>
      </c>
      <c r="B18" t="str">
        <f t="shared" si="0"/>
        <v>Phasing</v>
      </c>
      <c r="C18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138</v>
      </c>
      <c r="E1" s="4" t="s">
        <v>2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144</v>
      </c>
      <c r="L1" s="4" t="s">
        <v>145</v>
      </c>
      <c r="M1" s="4" t="s">
        <v>146</v>
      </c>
      <c r="N1" s="4" t="s">
        <v>147</v>
      </c>
      <c r="O1" s="3" t="s">
        <v>148</v>
      </c>
      <c r="P1" s="3" t="s">
        <v>149</v>
      </c>
      <c r="Q1" s="3" t="s">
        <v>150</v>
      </c>
      <c r="R1" s="3" t="s">
        <v>151</v>
      </c>
      <c r="S1" s="4" t="s">
        <v>152</v>
      </c>
      <c r="T1" s="4" t="s">
        <v>153</v>
      </c>
      <c r="U1" s="3" t="s">
        <v>21</v>
      </c>
    </row>
    <row r="2" spans="1:21" x14ac:dyDescent="0.25">
      <c r="A2" t="s">
        <v>154</v>
      </c>
      <c r="B2" t="str">
        <f t="shared" ref="B2:B33" si="0">PROPER(SUBSTITUTE(A2,"_"," "))</f>
        <v>Reception Desk</v>
      </c>
      <c r="C2" t="s">
        <v>155</v>
      </c>
      <c r="D2" t="s">
        <v>156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157</v>
      </c>
      <c r="O2">
        <v>2</v>
      </c>
      <c r="T2" t="s">
        <v>158</v>
      </c>
      <c r="U2" t="b">
        <v>1</v>
      </c>
    </row>
    <row r="3" spans="1:21" x14ac:dyDescent="0.25">
      <c r="A3" s="7" t="s">
        <v>159</v>
      </c>
      <c r="B3" t="str">
        <f t="shared" si="0"/>
        <v>Straw Pallet</v>
      </c>
      <c r="C3" t="s">
        <v>160</v>
      </c>
      <c r="D3" t="s">
        <v>161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157</v>
      </c>
      <c r="M3" t="s">
        <v>162</v>
      </c>
      <c r="O3">
        <v>2</v>
      </c>
      <c r="R3" t="b">
        <v>0</v>
      </c>
      <c r="U3" t="b">
        <v>0</v>
      </c>
    </row>
    <row r="4" spans="1:21" x14ac:dyDescent="0.25">
      <c r="A4" t="s">
        <v>163</v>
      </c>
      <c r="B4" t="str">
        <f t="shared" si="0"/>
        <v>Wood Frame Bed</v>
      </c>
      <c r="C4" t="s">
        <v>164</v>
      </c>
      <c r="D4" t="s">
        <v>161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157</v>
      </c>
      <c r="M4" t="s">
        <v>162</v>
      </c>
      <c r="O4">
        <v>2</v>
      </c>
      <c r="R4" t="b">
        <v>0</v>
      </c>
      <c r="S4" t="s">
        <v>165</v>
      </c>
      <c r="T4" t="s">
        <v>166</v>
      </c>
      <c r="U4" t="b">
        <v>1</v>
      </c>
    </row>
    <row r="5" spans="1:21" x14ac:dyDescent="0.25">
      <c r="A5" t="s">
        <v>167</v>
      </c>
      <c r="B5" t="str">
        <f t="shared" si="0"/>
        <v>Bunk Bed</v>
      </c>
      <c r="C5" t="s">
        <v>168</v>
      </c>
      <c r="D5" t="s">
        <v>161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157</v>
      </c>
      <c r="M5" t="s">
        <v>162</v>
      </c>
      <c r="O5">
        <v>2</v>
      </c>
      <c r="R5" t="b">
        <v>1</v>
      </c>
      <c r="S5" t="s">
        <v>169</v>
      </c>
      <c r="T5" t="s">
        <v>170</v>
      </c>
      <c r="U5" t="b">
        <v>1</v>
      </c>
    </row>
    <row r="6" spans="1:21" x14ac:dyDescent="0.25">
      <c r="A6" s="7" t="s">
        <v>171</v>
      </c>
      <c r="B6" t="str">
        <f t="shared" si="0"/>
        <v>Canopy Bed</v>
      </c>
      <c r="C6" t="s">
        <v>172</v>
      </c>
      <c r="D6" t="s">
        <v>161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157</v>
      </c>
      <c r="M6" t="s">
        <v>162</v>
      </c>
      <c r="O6">
        <v>2</v>
      </c>
      <c r="R6" t="b">
        <v>0</v>
      </c>
      <c r="U6" t="b">
        <v>0</v>
      </c>
    </row>
    <row r="7" spans="1:21" x14ac:dyDescent="0.25">
      <c r="A7" t="s">
        <v>173</v>
      </c>
      <c r="B7" t="str">
        <f t="shared" si="0"/>
        <v>Budget Wardrobe</v>
      </c>
      <c r="C7" t="s">
        <v>174</v>
      </c>
      <c r="D7" t="s">
        <v>175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157</v>
      </c>
      <c r="M7" t="s">
        <v>162</v>
      </c>
      <c r="O7">
        <v>3</v>
      </c>
      <c r="R7" t="b">
        <v>0</v>
      </c>
      <c r="S7" t="s">
        <v>176</v>
      </c>
      <c r="T7" t="s">
        <v>177</v>
      </c>
      <c r="U7" t="b">
        <v>1</v>
      </c>
    </row>
    <row r="8" spans="1:21" x14ac:dyDescent="0.25">
      <c r="A8" t="s">
        <v>178</v>
      </c>
      <c r="B8" t="str">
        <f t="shared" si="0"/>
        <v>Fine Wardrobe</v>
      </c>
      <c r="C8" t="s">
        <v>179</v>
      </c>
      <c r="D8" t="s">
        <v>175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157</v>
      </c>
      <c r="M8" t="s">
        <v>162</v>
      </c>
      <c r="O8">
        <v>3</v>
      </c>
      <c r="R8" t="b">
        <v>0</v>
      </c>
      <c r="S8" t="s">
        <v>176</v>
      </c>
      <c r="T8" t="s">
        <v>180</v>
      </c>
      <c r="U8" t="b">
        <v>1</v>
      </c>
    </row>
    <row r="9" spans="1:21" x14ac:dyDescent="0.25">
      <c r="A9" t="s">
        <v>181</v>
      </c>
      <c r="B9" t="str">
        <f t="shared" si="0"/>
        <v>Ornate Wardrobe</v>
      </c>
      <c r="D9" t="s">
        <v>175</v>
      </c>
      <c r="E9" t="s">
        <v>182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157</v>
      </c>
      <c r="M9" t="s">
        <v>162</v>
      </c>
      <c r="O9">
        <v>3</v>
      </c>
      <c r="R9" t="b">
        <v>0</v>
      </c>
      <c r="S9" t="s">
        <v>176</v>
      </c>
      <c r="T9" t="s">
        <v>183</v>
      </c>
      <c r="U9" t="b">
        <v>1</v>
      </c>
    </row>
    <row r="10" spans="1:21" x14ac:dyDescent="0.25">
      <c r="A10" s="7" t="s">
        <v>184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157</v>
      </c>
      <c r="M10" t="s">
        <v>162</v>
      </c>
      <c r="O10">
        <v>1</v>
      </c>
      <c r="R10" t="b">
        <v>0</v>
      </c>
      <c r="U10" t="b">
        <v>0</v>
      </c>
    </row>
    <row r="11" spans="1:21" x14ac:dyDescent="0.25">
      <c r="A11" s="7" t="s">
        <v>185</v>
      </c>
      <c r="B11" t="str">
        <f t="shared" si="0"/>
        <v>Wash Basin</v>
      </c>
      <c r="E11" t="s">
        <v>186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157</v>
      </c>
      <c r="M11" t="s">
        <v>162</v>
      </c>
      <c r="O11">
        <v>1</v>
      </c>
      <c r="R11" t="b">
        <v>0</v>
      </c>
      <c r="U11" t="b">
        <v>0</v>
      </c>
    </row>
    <row r="12" spans="1:21" x14ac:dyDescent="0.25">
      <c r="A12" s="7" t="s">
        <v>187</v>
      </c>
      <c r="B12" t="str">
        <f t="shared" si="0"/>
        <v>Artisan Rug</v>
      </c>
      <c r="E12" t="s">
        <v>188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157</v>
      </c>
      <c r="O12">
        <v>2</v>
      </c>
      <c r="R12" t="b">
        <v>0</v>
      </c>
      <c r="U12" t="b">
        <v>0</v>
      </c>
    </row>
    <row r="13" spans="1:21" x14ac:dyDescent="0.25">
      <c r="A13" s="7" t="s">
        <v>189</v>
      </c>
      <c r="B13" t="str">
        <f t="shared" si="0"/>
        <v>Mirror</v>
      </c>
      <c r="E13" t="s">
        <v>190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157</v>
      </c>
      <c r="M13" t="s">
        <v>162</v>
      </c>
      <c r="O13">
        <v>1</v>
      </c>
      <c r="R13" t="b">
        <v>0</v>
      </c>
      <c r="U13" t="b">
        <v>0</v>
      </c>
    </row>
    <row r="14" spans="1:21" x14ac:dyDescent="0.25">
      <c r="A14" s="7" t="s">
        <v>191</v>
      </c>
      <c r="B14" t="str">
        <f t="shared" si="0"/>
        <v>Trunk</v>
      </c>
      <c r="C14" t="s">
        <v>192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157</v>
      </c>
      <c r="M14" t="s">
        <v>162</v>
      </c>
      <c r="O14">
        <v>2</v>
      </c>
      <c r="R14" t="b">
        <v>0</v>
      </c>
      <c r="U14" t="b">
        <v>0</v>
      </c>
    </row>
    <row r="15" spans="1:21" x14ac:dyDescent="0.25">
      <c r="A15" s="7" t="s">
        <v>193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157</v>
      </c>
      <c r="O15">
        <v>3</v>
      </c>
      <c r="R15" t="b">
        <v>0</v>
      </c>
      <c r="U15" t="b">
        <v>0</v>
      </c>
    </row>
    <row r="16" spans="1:21" x14ac:dyDescent="0.25">
      <c r="A16" s="7" t="s">
        <v>194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157</v>
      </c>
      <c r="M16" t="s">
        <v>162</v>
      </c>
      <c r="O16">
        <v>1</v>
      </c>
      <c r="R16" t="b">
        <v>0</v>
      </c>
      <c r="U16" t="b">
        <v>0</v>
      </c>
    </row>
    <row r="17" spans="1:21" x14ac:dyDescent="0.25">
      <c r="A17" t="s">
        <v>195</v>
      </c>
      <c r="B17" t="str">
        <f t="shared" si="0"/>
        <v>Small Houseplant</v>
      </c>
      <c r="D17" t="s">
        <v>196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157</v>
      </c>
      <c r="O17">
        <v>1</v>
      </c>
      <c r="R17" t="b">
        <v>0</v>
      </c>
      <c r="S17" t="s">
        <v>197</v>
      </c>
      <c r="T17" t="s">
        <v>198</v>
      </c>
      <c r="U17" t="b">
        <v>1</v>
      </c>
    </row>
    <row r="18" spans="1:21" x14ac:dyDescent="0.25">
      <c r="A18" s="7" t="s">
        <v>199</v>
      </c>
      <c r="B18" t="str">
        <f t="shared" si="0"/>
        <v>Big Houseplant</v>
      </c>
      <c r="E18" s="1" t="s">
        <v>200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157</v>
      </c>
      <c r="O18">
        <v>2</v>
      </c>
      <c r="R18" t="b">
        <v>0</v>
      </c>
      <c r="U18" t="b">
        <v>0</v>
      </c>
    </row>
    <row r="19" spans="1:21" x14ac:dyDescent="0.25">
      <c r="A19" s="7" t="s">
        <v>201</v>
      </c>
      <c r="B19" t="str">
        <f t="shared" si="0"/>
        <v>Chamber Pot</v>
      </c>
      <c r="C19" t="s">
        <v>202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157</v>
      </c>
      <c r="M19" t="s">
        <v>143</v>
      </c>
      <c r="O19">
        <v>1</v>
      </c>
      <c r="R19" t="b">
        <v>0</v>
      </c>
      <c r="U19" t="b">
        <v>0</v>
      </c>
    </row>
    <row r="20" spans="1:21" x14ac:dyDescent="0.25">
      <c r="A20" t="s">
        <v>203</v>
      </c>
      <c r="B20" t="str">
        <f t="shared" si="0"/>
        <v>Cooking Order Desk</v>
      </c>
      <c r="C20" t="s">
        <v>204</v>
      </c>
      <c r="D20" t="s">
        <v>205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157</v>
      </c>
      <c r="M20" t="s">
        <v>206</v>
      </c>
      <c r="O20">
        <v>2</v>
      </c>
      <c r="R20" t="b">
        <v>0</v>
      </c>
      <c r="S20" t="s">
        <v>207</v>
      </c>
      <c r="T20" t="s">
        <v>208</v>
      </c>
      <c r="U20" t="b">
        <v>1</v>
      </c>
    </row>
    <row r="21" spans="1:21" x14ac:dyDescent="0.25">
      <c r="A21" t="s">
        <v>209</v>
      </c>
      <c r="B21" t="str">
        <f t="shared" si="0"/>
        <v>Cooking Couldron</v>
      </c>
      <c r="C21" t="s">
        <v>210</v>
      </c>
      <c r="D21" t="s">
        <v>211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157</v>
      </c>
      <c r="M21" t="s">
        <v>212</v>
      </c>
      <c r="O21">
        <v>2</v>
      </c>
      <c r="R21" t="b">
        <v>0</v>
      </c>
      <c r="S21" t="s">
        <v>213</v>
      </c>
      <c r="T21" t="s">
        <v>214</v>
      </c>
      <c r="U21" t="b">
        <v>1</v>
      </c>
    </row>
    <row r="22" spans="1:21" x14ac:dyDescent="0.25">
      <c r="A22" t="s">
        <v>215</v>
      </c>
      <c r="B22" t="str">
        <f t="shared" si="0"/>
        <v>Small Seating Table</v>
      </c>
      <c r="D22" t="s">
        <v>216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157</v>
      </c>
      <c r="M22" t="s">
        <v>206</v>
      </c>
      <c r="O22">
        <v>2</v>
      </c>
      <c r="R22" t="b">
        <v>0</v>
      </c>
      <c r="S22" t="s">
        <v>217</v>
      </c>
      <c r="T22" t="s">
        <v>218</v>
      </c>
      <c r="U22" t="b">
        <v>1</v>
      </c>
    </row>
    <row r="23" spans="1:21" x14ac:dyDescent="0.25">
      <c r="A23" t="s">
        <v>219</v>
      </c>
      <c r="B23" t="str">
        <f t="shared" si="0"/>
        <v>Pass Table</v>
      </c>
      <c r="C23" t="s">
        <v>220</v>
      </c>
      <c r="D23" t="s">
        <v>221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157</v>
      </c>
      <c r="M23" t="s">
        <v>212</v>
      </c>
      <c r="O23">
        <v>2</v>
      </c>
      <c r="R23" t="b">
        <v>0</v>
      </c>
      <c r="S23" t="s">
        <v>222</v>
      </c>
      <c r="T23" t="s">
        <v>223</v>
      </c>
      <c r="U23" t="b">
        <v>1</v>
      </c>
    </row>
    <row r="24" spans="1:21" x14ac:dyDescent="0.25">
      <c r="A24" t="s">
        <v>224</v>
      </c>
      <c r="B24" t="str">
        <f t="shared" si="0"/>
        <v>Crate</v>
      </c>
      <c r="C24" t="s">
        <v>225</v>
      </c>
      <c r="D24" t="s">
        <v>226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157</v>
      </c>
      <c r="O24">
        <v>2</v>
      </c>
      <c r="R24" t="b">
        <v>0</v>
      </c>
      <c r="S24" t="s">
        <v>227</v>
      </c>
      <c r="T24" t="s">
        <v>228</v>
      </c>
      <c r="U24" t="b">
        <v>1</v>
      </c>
    </row>
    <row r="25" spans="1:21" x14ac:dyDescent="0.25">
      <c r="A25" s="7" t="s">
        <v>229</v>
      </c>
      <c r="B25" t="str">
        <f t="shared" si="0"/>
        <v>Barrel</v>
      </c>
      <c r="C25" t="s">
        <v>225</v>
      </c>
      <c r="D25" t="s">
        <v>226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157</v>
      </c>
      <c r="O25">
        <v>2</v>
      </c>
      <c r="R25" t="b">
        <v>0</v>
      </c>
      <c r="S25" t="s">
        <v>230</v>
      </c>
      <c r="T25" t="s">
        <v>231</v>
      </c>
      <c r="U25" t="b">
        <v>1</v>
      </c>
    </row>
    <row r="26" spans="1:21" x14ac:dyDescent="0.25">
      <c r="A26" t="s">
        <v>232</v>
      </c>
      <c r="B26" t="str">
        <f t="shared" si="0"/>
        <v>Wall Torch</v>
      </c>
      <c r="C26" t="s">
        <v>233</v>
      </c>
      <c r="D26" t="s">
        <v>234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235</v>
      </c>
      <c r="O26">
        <v>0</v>
      </c>
      <c r="P26">
        <v>1.4</v>
      </c>
      <c r="R26" t="b">
        <v>0</v>
      </c>
      <c r="S26" t="s">
        <v>236</v>
      </c>
      <c r="T26" t="s">
        <v>237</v>
      </c>
      <c r="U26" t="b">
        <v>1</v>
      </c>
    </row>
    <row r="27" spans="1:21" x14ac:dyDescent="0.25">
      <c r="A27" t="s">
        <v>238</v>
      </c>
      <c r="B27" t="str">
        <f t="shared" si="0"/>
        <v>Condiment Shelf</v>
      </c>
      <c r="C27" t="s">
        <v>239</v>
      </c>
      <c r="D27" t="s">
        <v>240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235</v>
      </c>
      <c r="M27" t="s">
        <v>212</v>
      </c>
      <c r="O27">
        <v>1</v>
      </c>
      <c r="P27" s="1">
        <v>4.4000000000000004</v>
      </c>
      <c r="R27" t="b">
        <v>0</v>
      </c>
      <c r="S27" t="s">
        <v>241</v>
      </c>
      <c r="T27" t="s">
        <v>242</v>
      </c>
      <c r="U27" t="b">
        <v>1</v>
      </c>
    </row>
    <row r="28" spans="1:21" x14ac:dyDescent="0.25">
      <c r="A28" t="s">
        <v>243</v>
      </c>
      <c r="B28" t="str">
        <f t="shared" si="0"/>
        <v>Condiment Shelf Small</v>
      </c>
      <c r="C28" t="s">
        <v>239</v>
      </c>
      <c r="D28" t="s">
        <v>240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235</v>
      </c>
      <c r="M28" t="s">
        <v>212</v>
      </c>
      <c r="O28">
        <v>1</v>
      </c>
      <c r="P28" s="1">
        <v>4.4000000000000004</v>
      </c>
      <c r="R28" t="b">
        <v>0</v>
      </c>
      <c r="S28" t="s">
        <v>241</v>
      </c>
      <c r="T28" t="s">
        <v>244</v>
      </c>
      <c r="U28" t="b">
        <v>1</v>
      </c>
    </row>
    <row r="29" spans="1:21" x14ac:dyDescent="0.25">
      <c r="A29" t="s">
        <v>245</v>
      </c>
      <c r="B29" t="str">
        <f t="shared" si="0"/>
        <v>Hanging Frying Pans</v>
      </c>
      <c r="C29" t="s">
        <v>239</v>
      </c>
      <c r="D29" t="s">
        <v>240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235</v>
      </c>
      <c r="M29" t="s">
        <v>212</v>
      </c>
      <c r="O29">
        <v>0</v>
      </c>
      <c r="R29" t="b">
        <v>0</v>
      </c>
    </row>
    <row r="30" spans="1:21" x14ac:dyDescent="0.25">
      <c r="A30" t="s">
        <v>246</v>
      </c>
      <c r="B30" t="str">
        <f t="shared" si="0"/>
        <v>Butcher Table</v>
      </c>
      <c r="D30" t="s">
        <v>247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157</v>
      </c>
      <c r="M30" t="s">
        <v>212</v>
      </c>
      <c r="O30">
        <v>2</v>
      </c>
      <c r="R30" t="b">
        <v>0</v>
      </c>
    </row>
    <row r="31" spans="1:21" x14ac:dyDescent="0.25">
      <c r="A31" t="s">
        <v>248</v>
      </c>
      <c r="B31" t="str">
        <f t="shared" si="0"/>
        <v>Hanging Meat</v>
      </c>
      <c r="D31" t="s">
        <v>247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249</v>
      </c>
      <c r="B2" s="3" t="s">
        <v>250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251</v>
      </c>
      <c r="B1" t="s">
        <v>252</v>
      </c>
      <c r="C1" t="s">
        <v>138</v>
      </c>
    </row>
    <row r="2" spans="1:3" x14ac:dyDescent="0.25">
      <c r="A2" s="11" t="s">
        <v>249</v>
      </c>
      <c r="B2" s="11" t="s">
        <v>0</v>
      </c>
      <c r="C2" s="11" t="s">
        <v>253</v>
      </c>
    </row>
    <row r="3" spans="1:3" x14ac:dyDescent="0.25">
      <c r="A3" s="11" t="s">
        <v>249</v>
      </c>
      <c r="B3" s="11" t="s">
        <v>1</v>
      </c>
      <c r="C3" s="11" t="s">
        <v>253</v>
      </c>
    </row>
    <row r="4" spans="1:3" x14ac:dyDescent="0.25">
      <c r="A4" s="11" t="s">
        <v>249</v>
      </c>
      <c r="B4" s="11" t="s">
        <v>2</v>
      </c>
      <c r="C4" s="11" t="s">
        <v>253</v>
      </c>
    </row>
    <row r="5" spans="1:3" x14ac:dyDescent="0.25">
      <c r="A5" s="11" t="s">
        <v>249</v>
      </c>
      <c r="B5" s="11" t="s">
        <v>3</v>
      </c>
      <c r="C5" s="11" t="s">
        <v>253</v>
      </c>
    </row>
    <row r="6" spans="1:3" x14ac:dyDescent="0.25">
      <c r="A6" s="11" t="s">
        <v>249</v>
      </c>
      <c r="B6" s="11" t="s">
        <v>4</v>
      </c>
      <c r="C6" s="11" t="s">
        <v>253</v>
      </c>
    </row>
    <row r="7" spans="1:3" x14ac:dyDescent="0.25">
      <c r="A7" s="11" t="s">
        <v>249</v>
      </c>
      <c r="B7" s="11" t="s">
        <v>5</v>
      </c>
      <c r="C7" s="11" t="s">
        <v>253</v>
      </c>
    </row>
    <row r="8" spans="1:3" x14ac:dyDescent="0.25">
      <c r="A8" s="11" t="s">
        <v>249</v>
      </c>
      <c r="B8" s="11" t="s">
        <v>7</v>
      </c>
      <c r="C8" s="11" t="s">
        <v>253</v>
      </c>
    </row>
    <row r="9" spans="1:3" x14ac:dyDescent="0.25">
      <c r="A9" s="11" t="s">
        <v>249</v>
      </c>
      <c r="B9" s="11" t="s">
        <v>8</v>
      </c>
      <c r="C9" s="11" t="s">
        <v>254</v>
      </c>
    </row>
    <row r="10" spans="1:3" x14ac:dyDescent="0.25">
      <c r="A10" s="11" t="s">
        <v>249</v>
      </c>
      <c r="B10" s="11" t="s">
        <v>9</v>
      </c>
      <c r="C10" s="11" t="s">
        <v>254</v>
      </c>
    </row>
    <row r="11" spans="1:3" x14ac:dyDescent="0.25">
      <c r="A11" s="11" t="s">
        <v>249</v>
      </c>
      <c r="B11" s="11" t="s">
        <v>14</v>
      </c>
      <c r="C11" s="11" t="s">
        <v>254</v>
      </c>
    </row>
    <row r="12" spans="1:3" x14ac:dyDescent="0.25">
      <c r="A12" s="11" t="s">
        <v>249</v>
      </c>
      <c r="B12" s="11" t="s">
        <v>12</v>
      </c>
      <c r="C12" s="11" t="s">
        <v>254</v>
      </c>
    </row>
    <row r="13" spans="1:3" x14ac:dyDescent="0.25">
      <c r="A13" s="11" t="s">
        <v>249</v>
      </c>
      <c r="B13" s="11" t="s">
        <v>13</v>
      </c>
      <c r="C13" s="11" t="s">
        <v>254</v>
      </c>
    </row>
    <row r="14" spans="1:3" x14ac:dyDescent="0.25">
      <c r="A14" s="11" t="s">
        <v>249</v>
      </c>
      <c r="B14" s="11" t="s">
        <v>10</v>
      </c>
      <c r="C14" s="11" t="s">
        <v>254</v>
      </c>
    </row>
    <row r="15" spans="1:3" x14ac:dyDescent="0.25">
      <c r="A15" s="11" t="s">
        <v>249</v>
      </c>
      <c r="B15" s="11" t="s">
        <v>11</v>
      </c>
      <c r="C15" s="11" t="s">
        <v>254</v>
      </c>
    </row>
    <row r="16" spans="1:3" x14ac:dyDescent="0.25">
      <c r="A16" s="11" t="s">
        <v>249</v>
      </c>
      <c r="B16" s="11" t="s">
        <v>15</v>
      </c>
      <c r="C16" s="11" t="s">
        <v>254</v>
      </c>
    </row>
    <row r="17" spans="1:3" x14ac:dyDescent="0.25">
      <c r="A17" s="11" t="s">
        <v>249</v>
      </c>
      <c r="B17" s="11" t="s">
        <v>16</v>
      </c>
      <c r="C17" s="11" t="s">
        <v>255</v>
      </c>
    </row>
    <row r="18" spans="1:3" x14ac:dyDescent="0.25">
      <c r="A18" s="11" t="s">
        <v>249</v>
      </c>
      <c r="B18" s="11" t="s">
        <v>17</v>
      </c>
      <c r="C18" s="11" t="s">
        <v>255</v>
      </c>
    </row>
    <row r="19" spans="1:3" x14ac:dyDescent="0.25">
      <c r="A19" s="11" t="s">
        <v>249</v>
      </c>
      <c r="B19" s="11" t="s">
        <v>18</v>
      </c>
      <c r="C19" s="11" t="s">
        <v>255</v>
      </c>
    </row>
    <row r="20" spans="1:3" x14ac:dyDescent="0.25">
      <c r="A20" s="11" t="s">
        <v>249</v>
      </c>
      <c r="B20" s="11" t="s">
        <v>19</v>
      </c>
      <c r="C20" s="11" t="s">
        <v>255</v>
      </c>
    </row>
    <row r="21" spans="1:3" x14ac:dyDescent="0.25">
      <c r="A21" s="11" t="s">
        <v>249</v>
      </c>
      <c r="B21" s="11" t="s">
        <v>20</v>
      </c>
      <c r="C21" s="11" t="s">
        <v>253</v>
      </c>
    </row>
    <row r="22" spans="1:3" x14ac:dyDescent="0.25">
      <c r="A22" s="11" t="s">
        <v>249</v>
      </c>
      <c r="B22" s="11" t="s">
        <v>21</v>
      </c>
      <c r="C22" s="11" t="s">
        <v>256</v>
      </c>
    </row>
    <row r="23" spans="1:3" x14ac:dyDescent="0.25">
      <c r="A23" s="12" t="s">
        <v>257</v>
      </c>
      <c r="B23" s="12" t="s">
        <v>0</v>
      </c>
      <c r="C23" s="12" t="s">
        <v>253</v>
      </c>
    </row>
    <row r="24" spans="1:3" x14ac:dyDescent="0.25">
      <c r="A24" s="12" t="s">
        <v>257</v>
      </c>
      <c r="B24" s="12" t="s">
        <v>1</v>
      </c>
      <c r="C24" s="12" t="s">
        <v>253</v>
      </c>
    </row>
    <row r="25" spans="1:3" x14ac:dyDescent="0.25">
      <c r="A25" s="12" t="s">
        <v>257</v>
      </c>
      <c r="B25" s="12" t="s">
        <v>42</v>
      </c>
      <c r="C25" s="12" t="s">
        <v>253</v>
      </c>
    </row>
    <row r="26" spans="1:3" x14ac:dyDescent="0.25">
      <c r="A26" s="12" t="s">
        <v>257</v>
      </c>
      <c r="B26" s="12" t="s">
        <v>43</v>
      </c>
      <c r="C26" s="12" t="s">
        <v>253</v>
      </c>
    </row>
    <row r="27" spans="1:3" x14ac:dyDescent="0.25">
      <c r="A27" s="12" t="s">
        <v>257</v>
      </c>
      <c r="B27" s="12" t="s">
        <v>44</v>
      </c>
      <c r="C27" s="12" t="s">
        <v>253</v>
      </c>
    </row>
    <row r="28" spans="1:3" x14ac:dyDescent="0.25">
      <c r="A28" s="12" t="s">
        <v>257</v>
      </c>
      <c r="B28" s="12" t="s">
        <v>45</v>
      </c>
      <c r="C28" s="12" t="s">
        <v>254</v>
      </c>
    </row>
    <row r="29" spans="1:3" x14ac:dyDescent="0.25">
      <c r="A29" s="12" t="s">
        <v>257</v>
      </c>
      <c r="B29" s="12" t="s">
        <v>46</v>
      </c>
      <c r="C29" s="12" t="s">
        <v>254</v>
      </c>
    </row>
    <row r="30" spans="1:3" x14ac:dyDescent="0.25">
      <c r="A30" s="12" t="s">
        <v>257</v>
      </c>
      <c r="B30" s="12" t="s">
        <v>47</v>
      </c>
      <c r="C30" s="12" t="s">
        <v>254</v>
      </c>
    </row>
    <row r="31" spans="1:3" x14ac:dyDescent="0.25">
      <c r="A31" s="12" t="s">
        <v>257</v>
      </c>
      <c r="B31" s="12" t="s">
        <v>20</v>
      </c>
      <c r="C31" s="12" t="s">
        <v>253</v>
      </c>
    </row>
    <row r="32" spans="1:3" x14ac:dyDescent="0.25">
      <c r="A32" s="16" t="s">
        <v>44</v>
      </c>
      <c r="B32" s="16" t="s">
        <v>0</v>
      </c>
      <c r="C32" s="16" t="s">
        <v>253</v>
      </c>
    </row>
    <row r="33" spans="1:3" x14ac:dyDescent="0.25">
      <c r="A33" s="16" t="s">
        <v>44</v>
      </c>
      <c r="B33" s="16" t="s">
        <v>1</v>
      </c>
      <c r="C33" s="16" t="s">
        <v>253</v>
      </c>
    </row>
    <row r="34" spans="1:3" x14ac:dyDescent="0.25">
      <c r="A34" s="16" t="s">
        <v>44</v>
      </c>
      <c r="B34" s="16" t="s">
        <v>42</v>
      </c>
      <c r="C34" s="16" t="s">
        <v>253</v>
      </c>
    </row>
    <row r="35" spans="1:3" x14ac:dyDescent="0.25">
      <c r="A35" s="15" t="s">
        <v>258</v>
      </c>
      <c r="B35" s="15" t="s">
        <v>0</v>
      </c>
      <c r="C35" s="15" t="s">
        <v>253</v>
      </c>
    </row>
    <row r="36" spans="1:3" x14ac:dyDescent="0.25">
      <c r="A36" s="15" t="s">
        <v>258</v>
      </c>
      <c r="B36" s="15" t="s">
        <v>1</v>
      </c>
      <c r="C36" s="15" t="s">
        <v>253</v>
      </c>
    </row>
    <row r="37" spans="1:3" x14ac:dyDescent="0.25">
      <c r="A37" s="15" t="s">
        <v>258</v>
      </c>
      <c r="B37" s="15" t="s">
        <v>71</v>
      </c>
      <c r="C37" s="15" t="s">
        <v>253</v>
      </c>
    </row>
    <row r="38" spans="1:3" x14ac:dyDescent="0.25">
      <c r="A38" s="15" t="s">
        <v>258</v>
      </c>
      <c r="B38" s="15" t="s">
        <v>42</v>
      </c>
      <c r="C38" s="15" t="s">
        <v>253</v>
      </c>
    </row>
    <row r="39" spans="1:3" x14ac:dyDescent="0.25">
      <c r="A39" s="15" t="s">
        <v>258</v>
      </c>
      <c r="B39" s="15" t="s">
        <v>3</v>
      </c>
      <c r="C39" s="15" t="s">
        <v>253</v>
      </c>
    </row>
    <row r="40" spans="1:3" x14ac:dyDescent="0.25">
      <c r="A40" s="15" t="s">
        <v>258</v>
      </c>
      <c r="B40" s="15" t="s">
        <v>4</v>
      </c>
      <c r="C40" s="15" t="s">
        <v>253</v>
      </c>
    </row>
    <row r="41" spans="1:3" ht="15.75" customHeight="1" x14ac:dyDescent="0.25">
      <c r="A41" s="15" t="s">
        <v>258</v>
      </c>
      <c r="B41" s="15" t="s">
        <v>5</v>
      </c>
      <c r="C41" s="15" t="s">
        <v>253</v>
      </c>
    </row>
    <row r="42" spans="1:3" ht="15.75" customHeight="1" x14ac:dyDescent="0.25">
      <c r="A42" s="15" t="s">
        <v>258</v>
      </c>
      <c r="B42" s="15" t="s">
        <v>21</v>
      </c>
      <c r="C42" s="15" t="s">
        <v>256</v>
      </c>
    </row>
    <row r="43" spans="1:3" x14ac:dyDescent="0.25">
      <c r="A43" s="14" t="s">
        <v>7</v>
      </c>
      <c r="B43" s="14" t="s">
        <v>0</v>
      </c>
      <c r="C43" s="14" t="s">
        <v>253</v>
      </c>
    </row>
    <row r="44" spans="1:3" x14ac:dyDescent="0.25">
      <c r="A44" s="14" t="s">
        <v>7</v>
      </c>
      <c r="B44" s="14" t="s">
        <v>1</v>
      </c>
      <c r="C44" s="14" t="s">
        <v>253</v>
      </c>
    </row>
    <row r="45" spans="1:3" x14ac:dyDescent="0.25">
      <c r="A45" s="14" t="s">
        <v>7</v>
      </c>
      <c r="B45" s="14" t="s">
        <v>42</v>
      </c>
      <c r="C45" s="14" t="s">
        <v>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2026-09-17T10:22:23Z</dcterms:modified>
</cp:coreProperties>
</file>