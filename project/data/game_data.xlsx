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Too Many Orbs\project\data\"/>
    </mc:Choice>
  </mc:AlternateContent>
  <xr:revisionPtr revIDLastSave="0" documentId="13_ncr:1_{1BCE543D-063E-4B49-BA66-906644CD52E3}" xr6:coauthVersionLast="47" xr6:coauthVersionMax="47" xr10:uidLastSave="{00000000-0000-0000-0000-000000000000}"/>
  <bookViews>
    <workbookView xWindow="-28920" yWindow="-120" windowWidth="29040" windowHeight="15720" tabRatio="696" activeTab="4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rites" sheetId="9" r:id="rId5"/>
    <sheet name="motion" sheetId="4" r:id="rId6"/>
    <sheet name="objects_OLD" sheetId="5" state="hidden" r:id="rId7"/>
    <sheet name="input" sheetId="6" r:id="rId8"/>
    <sheet name="schema" sheetId="7" r:id="rId9"/>
  </sheets>
  <definedNames>
    <definedName name="_xlnm._FilterDatabase" localSheetId="6" hidden="1">objects_OLD!$A$1:$U$53</definedName>
    <definedName name="_xlnm._FilterDatabase" localSheetId="0" hidden="1">orbs!$A$1:$W$44</definedName>
    <definedName name="_xlnm._FilterDatabase" localSheetId="4" hidden="1">rites!$A$1:$G$18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9" l="1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2" i="9"/>
  <c r="B18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2" i="9"/>
  <c r="V14" i="1"/>
  <c r="V15" i="1"/>
  <c r="V16" i="1"/>
  <c r="V17" i="1"/>
  <c r="V18" i="1"/>
  <c r="B27" i="3"/>
  <c r="B26" i="3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G19" i="1"/>
  <c r="H19" i="1" s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8" i="1" l="1"/>
  <c r="H15" i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<sst xmlns="http://schemas.openxmlformats.org/spreadsheetml/2006/main" count="876" uniqueCount="437">
  <si>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</si>
  <si>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</si>
  <si>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</si>
  <si>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</si>
  <si>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</si>
  <si>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</si>
  <si>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</si>
  <si>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</si>
  <si>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</si>
  <si>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</si>
  <si>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</si>
  <si>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</si>
  <si>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</si>
  <si>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</si>
  <si>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</si>
  <si>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</si>
  <si>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</si>
  <si>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</si>
  <si>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</si>
  <si>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</si>
  <si>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</si>
  <si>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</si>
  <si>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</si>
  <si>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</si>
  <si>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</si>
  <si>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</si>
  <si>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</si>
  <si>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</si>
  <si>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</si>
  <si>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</si>
  <si>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</si>
  <si>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</si>
  <si>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</si>
  <si>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</si>
  <si>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</si>
  <si>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</si>
  <si>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</si>
  <si>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</si>
  <si>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</si>
  <si>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</si>
  <si>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</si>
  <si>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</si>
  <si>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</si>
  <si>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</si>
  <si>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</si>
  <si>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</si>
  <si>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</si>
  <si>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</si>
  <si>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</si>
  <si>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</si>
  <si>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</si>
  <si>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</si>
  <si>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</si>
  <si>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</si>
  <si>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</si>
  <si>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</si>
  <si>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</si>
  <si>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</si>
  <si>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</si>
  <si>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</si>
  <si>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</si>
  <si>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</si>
  <si>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</si>
  <si>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</si>
  <si>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</si>
  <si>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</si>
  <si>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</si>
  <si>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</si>
  <si>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</si>
  <si>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</si>
  <si>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</si>
  <si>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</si>
  <si>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</si>
  <si>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</si>
  <si>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</si>
  <si>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</si>
  <si>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</si>
  <si>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</si>
  <si>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</si>
  <si>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</si>
  <si>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</si>
  <si>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</si>
  <si>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</si>
  <si>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</si>
  <si>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</si>
  <si>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</si>
  <si>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</si>
  <si>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</si>
  <si>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</si>
  <si>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</si>
  <si>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</si>
  <si>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</si>
  <si>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</si>
  <si>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carrion</t>
  </si>
  <si>
    <t>outbreak</t>
  </si>
  <si>
    <t>virulence</t>
  </si>
  <si>
    <t>Any picked up glyph goes up in rarity</t>
  </si>
  <si>
    <t>hoarder</t>
  </si>
  <si>
    <t>affinity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</si>
  <si>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</si>
  <si>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</si>
  <si>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</si>
  <si>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</si>
  <si>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</si>
  <si>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</si>
  <si>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</si>
  <si>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</si>
  <si>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</si>
  <si>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</si>
  <si>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</si>
  <si>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</si>
  <si>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</si>
  <si>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</si>
  <si>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</si>
  <si>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</si>
  <si>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</si>
  <si>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</si>
  <si>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</si>
  <si>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</si>
  <si>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</si>
  <si>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</si>
  <si>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</si>
  <si>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</si>
  <si>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</si>
  <si>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</si>
  <si>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</si>
  <si>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</si>
  <si>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</si>
  <si>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</si>
  <si>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</si>
  <si>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</si>
  <si>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</si>
  <si>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</si>
  <si>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</si>
  <si>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</si>
  <si>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</si>
  <si>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</si>
  <si>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</si>
  <si>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</si>
  <si>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</si>
  <si>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</si>
  <si>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</si>
  <si>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</si>
  <si>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</si>
  <si>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</si>
  <si>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</si>
  <si>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</si>
  <si>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</si>
  <si>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</si>
  <si>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</si>
  <si>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</si>
  <si>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</si>
  <si>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</si>
  <si>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</si>
  <si>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</si>
  <si>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</si>
  <si>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</si>
  <si>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</si>
  <si>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</si>
  <si>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</si>
  <si>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</si>
  <si>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</si>
  <si>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</si>
  <si>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</si>
  <si>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</si>
  <si>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</si>
  <si>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</si>
  <si>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</si>
  <si>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</si>
  <si>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</si>
  <si>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</si>
  <si>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</si>
  <si>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</si>
  <si>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</si>
  <si>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</si>
  <si>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</si>
  <si>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</si>
  <si>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</si>
  <si>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</si>
  <si>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</si>
  <si>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</si>
  <si>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</si>
  <si>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</si>
  <si>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</si>
  <si>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</si>
  <si>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</si>
  <si>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</si>
  <si>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</si>
  <si>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</si>
  <si>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</si>
  <si>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</si>
  <si>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</si>
  <si>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</si>
  <si>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</si>
  <si>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</si>
  <si>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</si>
  <si>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</si>
  <si>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</si>
  <si>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</si>
  <si>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</si>
  <si>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</si>
  <si>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</si>
  <si>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</si>
  <si>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</si>
  <si>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</si>
  <si>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</si>
  <si>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</si>
  <si>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</si>
  <si>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</si>
  <si>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</si>
  <si>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</si>
  <si>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</si>
  <si>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</si>
  <si>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</si>
  <si>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</si>
  <si>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</si>
  <si>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</si>
  <si>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</si>
  <si>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</si>
  <si>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</si>
  <si>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</si>
  <si>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</si>
  <si>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</si>
  <si>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</si>
  <si>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</si>
  <si>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</si>
  <si>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</si>
  <si>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</si>
  <si>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</si>
  <si>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</si>
  <si>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</si>
  <si>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</si>
  <si>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</si>
  <si>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</si>
  <si>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</si>
  <si>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</si>
  <si>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</si>
  <si>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</si>
  <si>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</si>
  <si>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</si>
  <si>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</si>
  <si>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</si>
  <si>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</si>
  <si>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</si>
  <si>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</si>
  <si>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</si>
  <si>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</si>
  <si>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</si>
  <si>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</si>
  <si>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</si>
  <si>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</si>
  <si>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</si>
  <si>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</si>
  <si>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</si>
  <si>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</si>
  <si>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</si>
  <si>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</si>
  <si>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</si>
  <si>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</si>
  <si>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</si>
  <si>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</si>
  <si>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</si>
  <si>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</si>
  <si>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</si>
  <si>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</si>
  <si>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</si>
  <si>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</si>
  <si>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</si>
  <si>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</si>
  <si>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</si>
  <si>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</si>
  <si>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</si>
  <si>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</si>
  <si>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</si>
  <si>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</si>
  <si>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</si>
  <si>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</si>
  <si>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</si>
  <si>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</si>
  <si>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</si>
  <si>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</si>
  <si>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</si>
  <si>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</si>
  <si>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</si>
  <si>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</si>
  <si>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</si>
  <si>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Gets 5% damage increase for each dropped glyph</t>
  </si>
  <si>
    <t>Enters and haunts enemies and deal its damage per second to them. Once dead, exits in a random direction.</t>
  </si>
  <si>
    <t>gravity</t>
  </si>
  <si>
    <t>Slow nearby enemies by 30%</t>
  </si>
  <si>
    <t>Every destroyed object increases weight by 1</t>
  </si>
  <si>
    <t>nova</t>
  </si>
  <si>
    <t>Makes a frost nova around the orb every 3 seconds inflicting 5 Chill</t>
  </si>
  <si>
    <t>Shoots ice chards around every 3 seconds, doing 30 damage and inflicting 2 Chill</t>
  </si>
  <si>
    <t>Stacks on hit. Lowers damage dealt and increases damage received by 5% per stack.</t>
  </si>
  <si>
    <t>Blight on enemy hit</t>
  </si>
  <si>
    <t>spore</t>
  </si>
  <si>
    <t>20% chance of adding Disease status to enemies. On death half their Blight spreads to other nearby enemies</t>
  </si>
  <si>
    <t>Leaves a trail of fire after the orb for 2 seconds, inflicting 1 Burn on enemies</t>
  </si>
  <si>
    <t>The marked enemy gets 10 Chill</t>
  </si>
  <si>
    <t>All Blight stacks spread on death</t>
  </si>
  <si>
    <t>Nearby enemies also get Disease status along with the Blight</t>
  </si>
  <si>
    <t>On enemy death, a putrid cloud is left inflicting 1 Blighton passing enemies</t>
  </si>
  <si>
    <t>If orb hits an enemy with 10 or more Chill, kill it instantly</t>
  </si>
  <si>
    <t>Spews lava puddles around it. Lava inflicts 1 Burn per second on passing enemies</t>
  </si>
  <si>
    <t>While holding a glyph, inflict 5 of that glyphs corresponding elemental status to any hit enemies (burn, chill, shock or blight)</t>
  </si>
  <si>
    <t>Dropped glyphs gets a shield protecting against one damage instance</t>
  </si>
  <si>
    <t>Seeks out and picks up glyphs and drops them near the summoning circle.</t>
  </si>
  <si>
    <t>charge</t>
  </si>
  <si>
    <t>Absorbs Shock from enemies. When hitting 20, the next impact creates a powerful thunder strike doing 60 AoE damage</t>
  </si>
  <si>
    <t>recharge</t>
  </si>
  <si>
    <t>The thunder strike applies 5 Shock</t>
  </si>
  <si>
    <t>Gains 1 Shock every 2 seconds</t>
  </si>
  <si>
    <t>Absorbs Shock from enemies without removing it</t>
  </si>
  <si>
    <t>On redirect, lower the cooldown of the next frost nova by 0.2 seconds</t>
  </si>
  <si>
    <t>Each time 3 or more stacks of Frost is inflicted, inflict 1 burn</t>
  </si>
  <si>
    <t>Activating the summoning circle costs 50% less</t>
  </si>
  <si>
    <t>An image of you is left behind after dashing, attracting enemies. Image last for 3 seconds and have 1 hp</t>
  </si>
  <si>
    <t>Dashing through an enemy deals 10 damage</t>
  </si>
  <si>
    <t>Breakables have a +10% chance of dropping glyphs</t>
  </si>
  <si>
    <t>After redirecting, players becomes immune to all damage for 0.3 second</t>
  </si>
  <si>
    <t>When 1 stack of a basic status afflicts an enemy, add 1 stack of another random one</t>
  </si>
  <si>
    <t>prio</t>
  </si>
  <si>
    <t>Circle activation also damages all nearby enemies</t>
  </si>
  <si>
    <t>tithe</t>
  </si>
  <si>
    <t>Standing in the summoning circle slowly heals</t>
  </si>
  <si>
    <t>groove</t>
  </si>
  <si>
    <t>boil</t>
  </si>
  <si>
    <t>Glyphs have double HP</t>
  </si>
  <si>
    <t>All AOE effects are 20% larger</t>
  </si>
  <si>
    <t>frostburn</t>
  </si>
  <si>
    <t>Once every 20 seconds, block self-damage</t>
  </si>
  <si>
    <t>efficiancy</t>
  </si>
  <si>
    <t>accelerant</t>
  </si>
  <si>
    <t>png_path</t>
  </si>
  <si>
    <t>10% bonus damage to enemies with Chill</t>
  </si>
  <si>
    <t>When two orbs meet an explosion is created inflicting 10 damage</t>
  </si>
  <si>
    <t>While carrying a glyph, take 25% less damage</t>
  </si>
  <si>
    <t>rites</t>
  </si>
  <si>
    <t>ward</t>
  </si>
  <si>
    <t>rebate</t>
  </si>
  <si>
    <t>Glyphs deposited while the circle is active refund +1 mana</t>
  </si>
  <si>
    <t>grace</t>
  </si>
  <si>
    <t>flux</t>
  </si>
  <si>
    <t>clash</t>
  </si>
  <si>
    <t>skewer</t>
  </si>
  <si>
    <t>concuss</t>
  </si>
  <si>
    <t>salvage</t>
  </si>
  <si>
    <t>ballast</t>
  </si>
  <si>
    <t>swell</t>
  </si>
  <si>
    <t>tempered</t>
  </si>
  <si>
    <t>tag</t>
  </si>
  <si>
    <t>status</t>
  </si>
  <si>
    <t>ember</t>
  </si>
  <si>
    <t>Enemies that die with 10 or more burn explode for 10 damage</t>
  </si>
  <si>
    <t>smolder</t>
  </si>
  <si>
    <t>Burn stacks never decay below 1</t>
  </si>
  <si>
    <t>Redirects stop raising self-damage. Speed and enemy damage still rise.</t>
  </si>
  <si>
    <t>mercy</t>
  </si>
  <si>
    <t>Each redirect also adds 1 weight.</t>
  </si>
  <si>
    <t>heft</t>
  </si>
  <si>
    <t>The first orb hit after redirect deals +25% damage</t>
  </si>
  <si>
    <t>followthrough</t>
  </si>
  <si>
    <t>martyr</t>
  </si>
  <si>
    <t>Orbs cannot drop you below 1 HP</t>
  </si>
  <si>
    <t>penance</t>
  </si>
  <si>
    <t>Self-damage taken is added to the mana pool, 1 mana per 3 HP</t>
  </si>
  <si>
    <t>surrogate</t>
  </si>
  <si>
    <t>While you carry a glyph, orb contact damages that glyph instead of you.</t>
  </si>
  <si>
    <t>glass</t>
  </si>
  <si>
    <t>Damage and self-damage is dealt is 30% higher for all orbs</t>
  </si>
  <si>
    <t>payback</t>
  </si>
  <si>
    <t>For 3s after an orb hits you, that orb deals +20% damage to enemies</t>
  </si>
  <si>
    <t>reduce</t>
  </si>
  <si>
    <t>All damage to you is reduced by 1</t>
  </si>
  <si>
    <t>surplus</t>
  </si>
  <si>
    <t>Mana left at level clear carries into the next level.</t>
  </si>
  <si>
    <t>refund</t>
  </si>
  <si>
    <t>Disarming a waiting circle refunds what you paid to arm it.</t>
  </si>
  <si>
    <t>subsidy</t>
  </si>
  <si>
    <t>Blank Orbs cost half the price</t>
  </si>
  <si>
    <t>swarm</t>
  </si>
  <si>
    <t>Increase orb cap to 6</t>
  </si>
  <si>
    <t>An orb that destroys a glyph adds half that glyph's deposit value as mana.</t>
  </si>
  <si>
    <t>premium</t>
  </si>
  <si>
    <t>Unique glyphs deposit 30 mana.</t>
  </si>
  <si>
    <t>While the circle is waiting for an orb, enemies inside its info radius move 20% slower.</t>
  </si>
  <si>
    <t>vigil</t>
  </si>
  <si>
    <t>keeper</t>
  </si>
  <si>
    <t>Transforming gives you one new socketed at random.</t>
  </si>
  <si>
    <t>circle &amp; mana</t>
  </si>
  <si>
    <t>self damage</t>
  </si>
  <si>
    <t>redirect</t>
  </si>
  <si>
    <t>Carrying a glyph does not block dash.</t>
  </si>
  <si>
    <t>unburden</t>
  </si>
  <si>
    <t>courier</t>
  </si>
  <si>
    <t>Thrown glyphs travel 100% farther.</t>
  </si>
  <si>
    <t>The first glyph each level is at least Rare.</t>
  </si>
  <si>
    <t>Glyphs have -50% HP. Deposit mana is +50%.</t>
  </si>
  <si>
    <t>imbue</t>
  </si>
  <si>
    <t>Depositing a Unique glyph also bakes its attribute onto a random live orb for the rest of the level.</t>
  </si>
  <si>
    <t>brittle</t>
  </si>
  <si>
    <t>auspice</t>
  </si>
  <si>
    <t>sepsis</t>
  </si>
  <si>
    <t>Blight also raises Burn tick damage</t>
  </si>
  <si>
    <t>glacier</t>
  </si>
  <si>
    <t>Chill stacks past 15 deal 1 each when applied</t>
  </si>
  <si>
    <t>hairpin</t>
  </si>
  <si>
    <t>Shock triggers at 8 stacks</t>
  </si>
  <si>
    <t>leftover</t>
  </si>
  <si>
    <t>A Shock trigger leaves 3 stacks instead of clearing it to 0</t>
  </si>
  <si>
    <t>Shock stun lasts 3s</t>
  </si>
  <si>
    <t>daze</t>
  </si>
  <si>
    <t>Bowling can chain: an enemy slammed into a second enemy can slam that one into a third, once.</t>
  </si>
  <si>
    <t>wide</t>
  </si>
  <si>
    <t>sickly</t>
  </si>
  <si>
    <t>Double crit chance on enemies afflicted with +5 Blight</t>
  </si>
  <si>
    <t>One enemy in each wave starts with 5 Chill</t>
  </si>
  <si>
    <t>enemy_wave, chill</t>
  </si>
  <si>
    <t>knockback, weight</t>
  </si>
  <si>
    <t>crit_chance, blight</t>
  </si>
  <si>
    <t>blight, burn</t>
  </si>
  <si>
    <t>glyph</t>
  </si>
  <si>
    <t>Two nearby glyphs have a small chance of merging into one of a higher rarity</t>
  </si>
  <si>
    <t>fuse</t>
  </si>
  <si>
    <t>Destroying every breakable in the level deals 200 damage to all enemies</t>
  </si>
  <si>
    <t>clearcut</t>
  </si>
  <si>
    <t>aoe</t>
  </si>
  <si>
    <t>burn, chill</t>
  </si>
  <si>
    <t>self-damage</t>
  </si>
  <si>
    <t>summoning_circle</t>
  </si>
  <si>
    <t>Each time Shock triggers, trigger Burn twice</t>
  </si>
  <si>
    <t>shock, burn</t>
  </si>
  <si>
    <t>breakable</t>
  </si>
  <si>
    <t>dash</t>
  </si>
  <si>
    <t>Thrown glyphs stun 0.5 seconds on hit</t>
  </si>
  <si>
    <t>mining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</si>
</sst>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17E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8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  <xf numFmtId="0" fontId="0" fillId="9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colors>
    <mruColors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W1" sqref="W1"/>
    </sheetView>
  </sheetViews>
  <sheetFormatPr defaultRowHeight="15" x14ac:dyDescent="0.25"/>
  <cols>
    <col min="1" max="1" width="19.42578125" customWidth="1"/>
    <col min="2" max="2" width="17.5703125" customWidth="1"/>
    <col min="3" max="3" width="114.7109375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66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297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287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298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293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I7" t="s">
        <v>24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307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60</v>
      </c>
      <c r="O8">
        <v>3</v>
      </c>
      <c r="P8" s="8">
        <v>0.05</v>
      </c>
      <c r="Q8" s="8">
        <v>0.15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1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106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283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258</v>
      </c>
      <c r="B12" t="str">
        <f t="shared" si="0"/>
        <v>Vulcano</v>
      </c>
      <c r="C12" t="s">
        <v>304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109</v>
      </c>
      <c r="J12">
        <v>5</v>
      </c>
      <c r="K12">
        <v>15</v>
      </c>
      <c r="L12" s="8">
        <v>0.05</v>
      </c>
      <c r="M12" s="8">
        <v>2</v>
      </c>
      <c r="N12">
        <v>150</v>
      </c>
      <c r="O12">
        <v>6</v>
      </c>
      <c r="P12" s="8">
        <v>0</v>
      </c>
      <c r="Q12" s="8">
        <v>0.1</v>
      </c>
      <c r="R12">
        <v>2</v>
      </c>
      <c r="S12">
        <v>0</v>
      </c>
      <c r="T12">
        <v>0</v>
      </c>
      <c r="U12">
        <v>0</v>
      </c>
      <c r="V12" t="str">
        <f>"res://entities/orbs/blank/"&amp;A12&amp;"_orb.tscn"</f>
        <v>res://entities/orbs/blank/vulcano_orb.tscn</v>
      </c>
      <c r="W12" t="b">
        <v>1</v>
      </c>
    </row>
    <row r="13" spans="1:23" x14ac:dyDescent="0.25">
      <c r="A13" t="s">
        <v>259</v>
      </c>
      <c r="B13" t="str">
        <f t="shared" ref="B13:B44" si="4">PROPER(SUBSTITUTE(A13,"_"," "))</f>
        <v>Lure</v>
      </c>
      <c r="C13" t="s">
        <v>260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261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  <c r="V14" t="str">
        <f t="shared" ref="V14:V18" si="5">"res://entities/orbs/blank/"&amp;A14&amp;"_orb.tscn"</f>
        <v>res://entities/orbs/blank/_orb.tscn</v>
      </c>
    </row>
    <row r="15" spans="1:23" x14ac:dyDescent="0.25">
      <c r="A15" t="s">
        <v>262</v>
      </c>
      <c r="B15" t="str">
        <f t="shared" si="4"/>
        <v>Hunger</v>
      </c>
      <c r="C15" t="s">
        <v>290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  <c r="V15" t="str">
        <f t="shared" si="5"/>
        <v>res://entities/orbs/blank/hunger_orb.tscn</v>
      </c>
    </row>
    <row r="16" spans="1:23" x14ac:dyDescent="0.25">
      <c r="A16" t="s">
        <v>263</v>
      </c>
      <c r="B16" t="str">
        <f t="shared" si="4"/>
        <v>Vengance</v>
      </c>
      <c r="C16" t="s">
        <v>264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135</v>
      </c>
      <c r="V16" t="str">
        <f t="shared" si="5"/>
        <v>res://entities/orbs/blank/vengance_orb.tscn</v>
      </c>
    </row>
    <row r="17" spans="1:23" x14ac:dyDescent="0.25">
      <c r="A17" t="s">
        <v>265</v>
      </c>
      <c r="B17" t="str">
        <f t="shared" si="4"/>
        <v>Hunter</v>
      </c>
      <c r="C17" t="s">
        <v>266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  <c r="V17" t="str">
        <f t="shared" si="5"/>
        <v>res://entities/orbs/blank/hunter_orb.tscn</v>
      </c>
    </row>
    <row r="18" spans="1:23" x14ac:dyDescent="0.25">
      <c r="A18" t="s">
        <v>291</v>
      </c>
      <c r="B18" t="str">
        <f t="shared" si="4"/>
        <v>Nova</v>
      </c>
      <c r="C18" t="s">
        <v>292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  <c r="I18" t="s">
        <v>24</v>
      </c>
      <c r="J18">
        <v>10</v>
      </c>
      <c r="K18">
        <v>12</v>
      </c>
      <c r="L18" s="8">
        <v>0.05</v>
      </c>
      <c r="M18" s="8">
        <v>2</v>
      </c>
      <c r="N18">
        <v>105</v>
      </c>
      <c r="O18">
        <v>8</v>
      </c>
      <c r="P18" s="8">
        <v>0.1</v>
      </c>
      <c r="Q18" s="8">
        <v>0.1</v>
      </c>
      <c r="R18">
        <v>0</v>
      </c>
      <c r="S18">
        <v>3</v>
      </c>
      <c r="T18">
        <v>0</v>
      </c>
      <c r="U18">
        <v>0</v>
      </c>
      <c r="V18" t="str">
        <f t="shared" si="5"/>
        <v>res://entities/orbs/blank/nova_orb.tscn</v>
      </c>
      <c r="W18" t="b">
        <v>1</v>
      </c>
    </row>
    <row r="19" spans="1:23" x14ac:dyDescent="0.25">
      <c r="A19" t="s">
        <v>308</v>
      </c>
      <c r="B19" t="str">
        <f t="shared" si="4"/>
        <v>Charge</v>
      </c>
      <c r="C19" t="s">
        <v>309</v>
      </c>
      <c r="D19" t="s">
        <v>27</v>
      </c>
      <c r="E19" t="s">
        <v>27</v>
      </c>
      <c r="F19" t="s">
        <v>27</v>
      </c>
      <c r="G19" t="str">
        <f t="shared" si="2"/>
        <v>Air|Air|Air</v>
      </c>
      <c r="H19" t="str">
        <f t="shared" si="1"/>
        <v>Yes</v>
      </c>
    </row>
    <row r="20" spans="1:23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23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23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23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23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23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23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23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23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23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23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23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23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6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7">_xlfn.TEXTJOIN("|",TRUE,_xlfn._xlws.SORT(D35:F35))</f>
        <v/>
      </c>
      <c r="H35" t="str">
        <f t="shared" si="6"/>
        <v/>
      </c>
    </row>
    <row r="36" spans="2:8" x14ac:dyDescent="0.25">
      <c r="B36" t="str">
        <f t="shared" si="4"/>
        <v/>
      </c>
      <c r="G36" t="str">
        <f t="shared" si="7"/>
        <v/>
      </c>
      <c r="H36" t="str">
        <f t="shared" si="6"/>
        <v/>
      </c>
    </row>
    <row r="37" spans="2:8" x14ac:dyDescent="0.25">
      <c r="B37" t="str">
        <f t="shared" si="4"/>
        <v/>
      </c>
      <c r="G37" t="str">
        <f t="shared" si="7"/>
        <v/>
      </c>
      <c r="H37" t="str">
        <f t="shared" si="6"/>
        <v/>
      </c>
    </row>
    <row r="38" spans="2:8" x14ac:dyDescent="0.25">
      <c r="B38" t="str">
        <f t="shared" si="4"/>
        <v/>
      </c>
      <c r="G38" t="str">
        <f t="shared" si="7"/>
        <v/>
      </c>
      <c r="H38" t="str">
        <f t="shared" si="6"/>
        <v/>
      </c>
    </row>
    <row r="39" spans="2:8" x14ac:dyDescent="0.25">
      <c r="B39" t="str">
        <f t="shared" si="4"/>
        <v/>
      </c>
      <c r="G39" t="str">
        <f t="shared" si="7"/>
        <v/>
      </c>
      <c r="H39" t="str">
        <f t="shared" si="6"/>
        <v/>
      </c>
    </row>
    <row r="40" spans="2:8" x14ac:dyDescent="0.25">
      <c r="B40" t="str">
        <f t="shared" si="4"/>
        <v/>
      </c>
      <c r="G40" t="str">
        <f t="shared" si="7"/>
        <v/>
      </c>
      <c r="H40" t="str">
        <f t="shared" si="6"/>
        <v/>
      </c>
    </row>
    <row r="41" spans="2:8" x14ac:dyDescent="0.25">
      <c r="B41" t="str">
        <f t="shared" si="4"/>
        <v/>
      </c>
      <c r="G41" t="str">
        <f t="shared" si="7"/>
        <v/>
      </c>
      <c r="H41" t="str">
        <f t="shared" si="6"/>
        <v/>
      </c>
    </row>
    <row r="42" spans="2:8" x14ac:dyDescent="0.25">
      <c r="B42" t="str">
        <f t="shared" si="4"/>
        <v/>
      </c>
      <c r="G42" t="str">
        <f t="shared" si="7"/>
        <v/>
      </c>
      <c r="H42" t="str">
        <f t="shared" si="6"/>
        <v/>
      </c>
    </row>
    <row r="43" spans="2:8" x14ac:dyDescent="0.25">
      <c r="B43" t="str">
        <f t="shared" si="4"/>
        <v/>
      </c>
      <c r="G43" t="str">
        <f t="shared" si="7"/>
        <v/>
      </c>
      <c r="H43" t="str">
        <f t="shared" si="6"/>
        <v/>
      </c>
    </row>
    <row r="44" spans="2:8" x14ac:dyDescent="0.25">
      <c r="B44" t="str">
        <f t="shared" si="4"/>
        <v/>
      </c>
      <c r="G44" t="str">
        <f t="shared" si="7"/>
        <v/>
      </c>
      <c r="H44" t="str">
        <f t="shared" si="6"/>
        <v/>
      </c>
    </row>
    <row r="45" spans="2:8" x14ac:dyDescent="0.25">
      <c r="G45" t="str">
        <f t="shared" si="7"/>
        <v/>
      </c>
      <c r="H45" t="str">
        <f t="shared" si="6"/>
        <v/>
      </c>
    </row>
    <row r="46" spans="2:8" x14ac:dyDescent="0.25">
      <c r="G46" t="str">
        <f t="shared" si="7"/>
        <v/>
      </c>
      <c r="H46" t="str">
        <f t="shared" si="6"/>
        <v/>
      </c>
    </row>
    <row r="47" spans="2:8" x14ac:dyDescent="0.25">
      <c r="G47" t="str">
        <f t="shared" si="7"/>
        <v/>
      </c>
      <c r="H47" t="str">
        <f t="shared" si="6"/>
        <v/>
      </c>
    </row>
    <row r="48" spans="2:8" x14ac:dyDescent="0.25">
      <c r="G48" t="str">
        <f t="shared" si="7"/>
        <v/>
      </c>
      <c r="H48" t="str">
        <f t="shared" si="6"/>
        <v/>
      </c>
    </row>
    <row r="49" spans="7:8" x14ac:dyDescent="0.25">
      <c r="G49" t="str">
        <f t="shared" si="7"/>
        <v/>
      </c>
      <c r="H49" t="str">
        <f t="shared" si="6"/>
        <v/>
      </c>
    </row>
    <row r="50" spans="7:8" x14ac:dyDescent="0.25">
      <c r="G50" t="str">
        <f t="shared" si="7"/>
        <v/>
      </c>
      <c r="H50" t="str">
        <f t="shared" si="6"/>
        <v/>
      </c>
    </row>
    <row r="51" spans="7:8" x14ac:dyDescent="0.25">
      <c r="G51" t="str">
        <f t="shared" si="7"/>
        <v/>
      </c>
      <c r="H51" t="str">
        <f t="shared" si="6"/>
        <v/>
      </c>
    </row>
    <row r="52" spans="7:8" x14ac:dyDescent="0.25">
      <c r="G52" t="str">
        <f t="shared" si="7"/>
        <v/>
      </c>
      <c r="H52" t="str">
        <f t="shared" si="6"/>
        <v/>
      </c>
    </row>
    <row r="53" spans="7:8" x14ac:dyDescent="0.25">
      <c r="G53" t="str">
        <f t="shared" si="7"/>
        <v/>
      </c>
      <c r="H53" t="str">
        <f t="shared" si="6"/>
        <v/>
      </c>
    </row>
    <row r="54" spans="7:8" x14ac:dyDescent="0.25">
      <c r="G54" t="str">
        <f t="shared" si="7"/>
        <v/>
      </c>
      <c r="H54" t="str">
        <f t="shared" si="6"/>
        <v/>
      </c>
    </row>
    <row r="55" spans="7:8" x14ac:dyDescent="0.25">
      <c r="G55" t="str">
        <f t="shared" si="7"/>
        <v/>
      </c>
      <c r="H55" t="str">
        <f t="shared" si="6"/>
        <v/>
      </c>
    </row>
    <row r="56" spans="7:8" x14ac:dyDescent="0.25">
      <c r="G56" t="str">
        <f t="shared" si="7"/>
        <v/>
      </c>
      <c r="H56" t="str">
        <f t="shared" si="6"/>
        <v/>
      </c>
    </row>
    <row r="57" spans="7:8" x14ac:dyDescent="0.25">
      <c r="G57" t="str">
        <f t="shared" si="7"/>
        <v/>
      </c>
      <c r="H57" t="str">
        <f t="shared" si="6"/>
        <v/>
      </c>
    </row>
    <row r="58" spans="7:8" x14ac:dyDescent="0.25">
      <c r="G58" t="str">
        <f t="shared" si="7"/>
        <v/>
      </c>
      <c r="H58" t="str">
        <f t="shared" si="6"/>
        <v/>
      </c>
    </row>
    <row r="59" spans="7:8" x14ac:dyDescent="0.25">
      <c r="G59" t="str">
        <f t="shared" si="7"/>
        <v/>
      </c>
      <c r="H59" t="str">
        <f t="shared" si="6"/>
        <v/>
      </c>
    </row>
    <row r="60" spans="7:8" x14ac:dyDescent="0.25">
      <c r="G60" t="str">
        <f t="shared" si="7"/>
        <v/>
      </c>
      <c r="H60" t="str">
        <f t="shared" si="6"/>
        <v/>
      </c>
    </row>
    <row r="61" spans="7:8" x14ac:dyDescent="0.25">
      <c r="G61" t="str">
        <f t="shared" si="7"/>
        <v/>
      </c>
      <c r="H61" t="str">
        <f t="shared" si="6"/>
        <v/>
      </c>
    </row>
    <row r="62" spans="7:8" x14ac:dyDescent="0.25">
      <c r="G62" t="str">
        <f t="shared" si="7"/>
        <v/>
      </c>
      <c r="H62" t="str">
        <f t="shared" si="6"/>
        <v/>
      </c>
    </row>
    <row r="63" spans="7:8" x14ac:dyDescent="0.25">
      <c r="G63" t="str">
        <f t="shared" si="7"/>
        <v/>
      </c>
      <c r="H63" t="str">
        <f t="shared" si="6"/>
        <v/>
      </c>
    </row>
    <row r="64" spans="7:8" x14ac:dyDescent="0.25">
      <c r="G64" t="str">
        <f t="shared" si="7"/>
        <v/>
      </c>
      <c r="H64" t="str">
        <f t="shared" si="6"/>
        <v/>
      </c>
    </row>
    <row r="65" spans="7:8" x14ac:dyDescent="0.25">
      <c r="G65" t="str">
        <f t="shared" si="7"/>
        <v/>
      </c>
      <c r="H65" t="str">
        <f t="shared" si="6"/>
        <v/>
      </c>
    </row>
    <row r="66" spans="7:8" x14ac:dyDescent="0.25">
      <c r="G66" t="str">
        <f t="shared" si="7"/>
        <v/>
      </c>
      <c r="H66" t="str">
        <f t="shared" ref="H66:H97" si="8">IF(ISBLANK(F66),"",IF(COUNTIF($G$2:$G$101,G66)=1,"Yes","No"))</f>
        <v/>
      </c>
    </row>
    <row r="67" spans="7:8" x14ac:dyDescent="0.25">
      <c r="G67" t="str">
        <f t="shared" ref="G67:G98" si="9">_xlfn.TEXTJOIN("|",TRUE,_xlfn._xlws.SORT(D67:F67))</f>
        <v/>
      </c>
      <c r="H67" t="str">
        <f t="shared" si="8"/>
        <v/>
      </c>
    </row>
    <row r="68" spans="7:8" x14ac:dyDescent="0.25">
      <c r="G68" t="str">
        <f t="shared" si="9"/>
        <v/>
      </c>
      <c r="H68" t="str">
        <f t="shared" si="8"/>
        <v/>
      </c>
    </row>
    <row r="69" spans="7:8" x14ac:dyDescent="0.25">
      <c r="G69" t="str">
        <f t="shared" si="9"/>
        <v/>
      </c>
      <c r="H69" t="str">
        <f t="shared" si="8"/>
        <v/>
      </c>
    </row>
    <row r="70" spans="7:8" x14ac:dyDescent="0.25">
      <c r="G70" t="str">
        <f t="shared" si="9"/>
        <v/>
      </c>
      <c r="H70" t="str">
        <f t="shared" si="8"/>
        <v/>
      </c>
    </row>
    <row r="71" spans="7:8" x14ac:dyDescent="0.25">
      <c r="G71" t="str">
        <f t="shared" si="9"/>
        <v/>
      </c>
      <c r="H71" t="str">
        <f t="shared" si="8"/>
        <v/>
      </c>
    </row>
    <row r="72" spans="7:8" x14ac:dyDescent="0.25">
      <c r="G72" t="str">
        <f t="shared" si="9"/>
        <v/>
      </c>
      <c r="H72" t="str">
        <f t="shared" si="8"/>
        <v/>
      </c>
    </row>
    <row r="73" spans="7:8" x14ac:dyDescent="0.25">
      <c r="G73" t="str">
        <f t="shared" si="9"/>
        <v/>
      </c>
      <c r="H73" t="str">
        <f t="shared" si="8"/>
        <v/>
      </c>
    </row>
    <row r="74" spans="7:8" x14ac:dyDescent="0.25">
      <c r="G74" t="str">
        <f t="shared" si="9"/>
        <v/>
      </c>
      <c r="H74" t="str">
        <f t="shared" si="8"/>
        <v/>
      </c>
    </row>
    <row r="75" spans="7:8" x14ac:dyDescent="0.25">
      <c r="G75" t="str">
        <f t="shared" si="9"/>
        <v/>
      </c>
      <c r="H75" t="str">
        <f t="shared" si="8"/>
        <v/>
      </c>
    </row>
    <row r="76" spans="7:8" x14ac:dyDescent="0.25">
      <c r="G76" t="str">
        <f t="shared" si="9"/>
        <v/>
      </c>
      <c r="H76" t="str">
        <f t="shared" si="8"/>
        <v/>
      </c>
    </row>
    <row r="77" spans="7:8" x14ac:dyDescent="0.25">
      <c r="G77" t="str">
        <f t="shared" si="9"/>
        <v/>
      </c>
      <c r="H77" t="str">
        <f t="shared" si="8"/>
        <v/>
      </c>
    </row>
    <row r="78" spans="7:8" x14ac:dyDescent="0.25">
      <c r="G78" t="str">
        <f t="shared" si="9"/>
        <v/>
      </c>
      <c r="H78" t="str">
        <f t="shared" si="8"/>
        <v/>
      </c>
    </row>
    <row r="79" spans="7:8" x14ac:dyDescent="0.25">
      <c r="G79" t="str">
        <f t="shared" si="9"/>
        <v/>
      </c>
      <c r="H79" t="str">
        <f t="shared" si="8"/>
        <v/>
      </c>
    </row>
    <row r="80" spans="7:8" x14ac:dyDescent="0.25">
      <c r="G80" t="str">
        <f t="shared" si="9"/>
        <v/>
      </c>
      <c r="H80" t="str">
        <f t="shared" si="8"/>
        <v/>
      </c>
    </row>
    <row r="81" spans="7:8" x14ac:dyDescent="0.25">
      <c r="G81" t="str">
        <f t="shared" si="9"/>
        <v/>
      </c>
      <c r="H81" t="str">
        <f t="shared" si="8"/>
        <v/>
      </c>
    </row>
    <row r="82" spans="7:8" x14ac:dyDescent="0.25">
      <c r="G82" t="str">
        <f t="shared" si="9"/>
        <v/>
      </c>
      <c r="H82" t="str">
        <f t="shared" si="8"/>
        <v/>
      </c>
    </row>
    <row r="83" spans="7:8" x14ac:dyDescent="0.25">
      <c r="G83" t="str">
        <f t="shared" si="9"/>
        <v/>
      </c>
      <c r="H83" t="str">
        <f t="shared" si="8"/>
        <v/>
      </c>
    </row>
    <row r="84" spans="7:8" x14ac:dyDescent="0.25">
      <c r="G84" t="str">
        <f t="shared" si="9"/>
        <v/>
      </c>
      <c r="H84" t="str">
        <f t="shared" si="8"/>
        <v/>
      </c>
    </row>
    <row r="85" spans="7:8" x14ac:dyDescent="0.25">
      <c r="G85" t="str">
        <f t="shared" si="9"/>
        <v/>
      </c>
      <c r="H85" t="str">
        <f t="shared" si="8"/>
        <v/>
      </c>
    </row>
    <row r="86" spans="7:8" x14ac:dyDescent="0.25">
      <c r="G86" t="str">
        <f t="shared" si="9"/>
        <v/>
      </c>
      <c r="H86" t="str">
        <f t="shared" si="8"/>
        <v/>
      </c>
    </row>
    <row r="87" spans="7:8" x14ac:dyDescent="0.25">
      <c r="G87" t="str">
        <f t="shared" si="9"/>
        <v/>
      </c>
      <c r="H87" t="str">
        <f t="shared" si="8"/>
        <v/>
      </c>
    </row>
    <row r="88" spans="7:8" x14ac:dyDescent="0.25">
      <c r="G88" t="str">
        <f t="shared" si="9"/>
        <v/>
      </c>
      <c r="H88" t="str">
        <f t="shared" si="8"/>
        <v/>
      </c>
    </row>
    <row r="89" spans="7:8" x14ac:dyDescent="0.25">
      <c r="G89" t="str">
        <f t="shared" si="9"/>
        <v/>
      </c>
      <c r="H89" t="str">
        <f t="shared" si="8"/>
        <v/>
      </c>
    </row>
    <row r="90" spans="7:8" x14ac:dyDescent="0.25">
      <c r="G90" t="str">
        <f t="shared" si="9"/>
        <v/>
      </c>
      <c r="H90" t="str">
        <f t="shared" si="8"/>
        <v/>
      </c>
    </row>
    <row r="91" spans="7:8" x14ac:dyDescent="0.25">
      <c r="G91" t="str">
        <f t="shared" si="9"/>
        <v/>
      </c>
      <c r="H91" t="str">
        <f t="shared" si="8"/>
        <v/>
      </c>
    </row>
    <row r="92" spans="7:8" x14ac:dyDescent="0.25">
      <c r="G92" t="str">
        <f t="shared" si="9"/>
        <v/>
      </c>
      <c r="H92" t="str">
        <f t="shared" si="8"/>
        <v/>
      </c>
    </row>
    <row r="93" spans="7:8" x14ac:dyDescent="0.25">
      <c r="G93" t="str">
        <f t="shared" si="9"/>
        <v/>
      </c>
      <c r="H93" t="str">
        <f t="shared" si="8"/>
        <v/>
      </c>
    </row>
    <row r="94" spans="7:8" x14ac:dyDescent="0.25">
      <c r="G94" t="str">
        <f t="shared" si="9"/>
        <v/>
      </c>
      <c r="H94" t="str">
        <f t="shared" si="8"/>
        <v/>
      </c>
    </row>
    <row r="95" spans="7:8" x14ac:dyDescent="0.25">
      <c r="G95" t="str">
        <f t="shared" si="9"/>
        <v/>
      </c>
      <c r="H95" t="str">
        <f t="shared" si="8"/>
        <v/>
      </c>
    </row>
    <row r="96" spans="7:8" x14ac:dyDescent="0.25">
      <c r="G96" t="str">
        <f t="shared" si="9"/>
        <v/>
      </c>
      <c r="H96" t="str">
        <f t="shared" si="8"/>
        <v/>
      </c>
    </row>
    <row r="97" spans="7:8" x14ac:dyDescent="0.25">
      <c r="G97" t="str">
        <f t="shared" si="9"/>
        <v/>
      </c>
      <c r="H97" t="str">
        <f t="shared" si="8"/>
        <v/>
      </c>
    </row>
    <row r="98" spans="7:8" x14ac:dyDescent="0.25">
      <c r="G98" t="str">
        <f t="shared" si="9"/>
        <v/>
      </c>
      <c r="H98" t="str">
        <f t="shared" ref="H98" si="10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sqref="A1:C1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296</v>
      </c>
      <c r="B11" t="str">
        <f t="shared" si="0"/>
        <v>Spore</v>
      </c>
      <c r="C11" t="s">
        <v>295</v>
      </c>
      <c r="D11" t="s">
        <v>30</v>
      </c>
      <c r="E11" t="s">
        <v>66</v>
      </c>
      <c r="F11">
        <v>1</v>
      </c>
      <c r="G11">
        <v>2</v>
      </c>
      <c r="H11">
        <v>3</v>
      </c>
      <c r="I11" t="str">
        <f t="shared" si="1"/>
        <v>res://items/glyphs/spore_glyph.png</v>
      </c>
    </row>
    <row r="12" spans="1:9" x14ac:dyDescent="0.25">
      <c r="A12" t="s">
        <v>67</v>
      </c>
      <c r="B12" t="str">
        <f t="shared" si="0"/>
        <v>Dense</v>
      </c>
      <c r="C12" t="s">
        <v>68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69</v>
      </c>
      <c r="B13" t="str">
        <f t="shared" si="0"/>
        <v>Crush</v>
      </c>
      <c r="C13" t="s">
        <v>70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4" sqref="C14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281</v>
      </c>
    </row>
    <row r="3" spans="1:3" x14ac:dyDescent="0.25">
      <c r="A3" t="s">
        <v>14</v>
      </c>
      <c r="B3" t="str">
        <f t="shared" si="0"/>
        <v>Splash</v>
      </c>
      <c r="C3" t="s">
        <v>273</v>
      </c>
    </row>
    <row r="4" spans="1:3" x14ac:dyDescent="0.25">
      <c r="A4" t="s">
        <v>16</v>
      </c>
      <c r="B4" t="str">
        <f t="shared" si="0"/>
        <v>Burn</v>
      </c>
      <c r="C4" t="s">
        <v>280</v>
      </c>
    </row>
    <row r="5" spans="1:3" x14ac:dyDescent="0.25">
      <c r="A5" t="s">
        <v>9</v>
      </c>
      <c r="B5" t="str">
        <f t="shared" si="0"/>
        <v>Self Damage</v>
      </c>
      <c r="C5" t="s">
        <v>282</v>
      </c>
    </row>
    <row r="6" spans="1:3" x14ac:dyDescent="0.25">
      <c r="A6" t="s">
        <v>15</v>
      </c>
      <c r="B6" t="str">
        <f t="shared" si="0"/>
        <v>Glyph Drop</v>
      </c>
      <c r="C6" t="s">
        <v>276</v>
      </c>
    </row>
    <row r="7" spans="1:3" x14ac:dyDescent="0.25">
      <c r="A7" t="s">
        <v>17</v>
      </c>
      <c r="B7" t="str">
        <f t="shared" si="0"/>
        <v>Chill</v>
      </c>
      <c r="C7" t="s">
        <v>278</v>
      </c>
    </row>
    <row r="8" spans="1:3" x14ac:dyDescent="0.25">
      <c r="A8" t="s">
        <v>10</v>
      </c>
      <c r="B8" t="str">
        <f t="shared" si="0"/>
        <v>Crit Chance</v>
      </c>
      <c r="C8" t="s">
        <v>274</v>
      </c>
    </row>
    <row r="9" spans="1:3" x14ac:dyDescent="0.25">
      <c r="A9" t="s">
        <v>12</v>
      </c>
      <c r="B9" t="str">
        <f t="shared" si="0"/>
        <v>Speed</v>
      </c>
      <c r="C9" t="s">
        <v>272</v>
      </c>
    </row>
    <row r="10" spans="1:3" x14ac:dyDescent="0.25">
      <c r="A10" t="s">
        <v>18</v>
      </c>
      <c r="B10" t="str">
        <f t="shared" si="0"/>
        <v>Shock</v>
      </c>
      <c r="C10" t="s">
        <v>279</v>
      </c>
    </row>
    <row r="11" spans="1:3" x14ac:dyDescent="0.25">
      <c r="A11" t="s">
        <v>13</v>
      </c>
      <c r="B11" t="str">
        <f t="shared" si="0"/>
        <v>Weight</v>
      </c>
      <c r="C11" t="s">
        <v>277</v>
      </c>
    </row>
    <row r="12" spans="1:3" x14ac:dyDescent="0.25">
      <c r="A12" t="s">
        <v>11</v>
      </c>
      <c r="B12" t="str">
        <f t="shared" si="0"/>
        <v>Crit Damage</v>
      </c>
      <c r="C12" t="s">
        <v>275</v>
      </c>
    </row>
    <row r="13" spans="1:3" x14ac:dyDescent="0.25">
      <c r="A13" t="s">
        <v>66</v>
      </c>
      <c r="B13" t="str">
        <f t="shared" si="0"/>
        <v>Blight</v>
      </c>
      <c r="C13" t="s">
        <v>294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A12" sqref="A12:XFD12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71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72</v>
      </c>
      <c r="B2" t="str">
        <f t="shared" ref="B2:B27" si="0">PROPER(SUBSTITUTE(A2,"_"," "))</f>
        <v>Haunt</v>
      </c>
      <c r="C2" t="s">
        <v>31</v>
      </c>
      <c r="D2" t="s">
        <v>73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74</v>
      </c>
      <c r="B3" t="str">
        <f t="shared" si="0"/>
        <v>Possesion</v>
      </c>
      <c r="C3" t="s">
        <v>31</v>
      </c>
      <c r="D3" t="s">
        <v>75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76</v>
      </c>
      <c r="B4" t="str">
        <f t="shared" si="0"/>
        <v>Trail</v>
      </c>
      <c r="C4" t="s">
        <v>32</v>
      </c>
      <c r="D4" t="s">
        <v>77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78</v>
      </c>
      <c r="B5" t="str">
        <f t="shared" si="0"/>
        <v>Kindling</v>
      </c>
      <c r="C5" t="s">
        <v>32</v>
      </c>
      <c r="D5" t="s">
        <v>79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80</v>
      </c>
      <c r="B6" t="str">
        <f t="shared" si="0"/>
        <v>Spark</v>
      </c>
      <c r="C6" t="s">
        <v>32</v>
      </c>
      <c r="D6" t="s">
        <v>81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82</v>
      </c>
      <c r="B7" t="str">
        <f t="shared" si="0"/>
        <v>Chain</v>
      </c>
      <c r="C7" t="s">
        <v>25</v>
      </c>
      <c r="D7" t="s">
        <v>83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84</v>
      </c>
      <c r="B8" t="str">
        <f t="shared" si="0"/>
        <v>Conductor</v>
      </c>
      <c r="C8" t="s">
        <v>25</v>
      </c>
      <c r="D8" t="s">
        <v>85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86</v>
      </c>
      <c r="B9" t="str">
        <f t="shared" si="0"/>
        <v>Reach</v>
      </c>
      <c r="C9" t="s">
        <v>25</v>
      </c>
      <c r="D9" t="s">
        <v>87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88</v>
      </c>
      <c r="B10" t="str">
        <f t="shared" si="0"/>
        <v>Splinter</v>
      </c>
      <c r="C10" t="s">
        <v>33</v>
      </c>
      <c r="D10" t="s">
        <v>89</v>
      </c>
      <c r="H10" t="str">
        <f t="shared" si="1"/>
        <v/>
      </c>
      <c r="I10" t="b">
        <v>0</v>
      </c>
    </row>
    <row r="11" spans="1:9" x14ac:dyDescent="0.25">
      <c r="A11" t="s">
        <v>90</v>
      </c>
      <c r="B11" t="str">
        <f t="shared" si="0"/>
        <v>Lethal</v>
      </c>
      <c r="C11" t="s">
        <v>33</v>
      </c>
      <c r="D11" t="s">
        <v>91</v>
      </c>
      <c r="H11" t="str">
        <f t="shared" si="1"/>
        <v/>
      </c>
      <c r="I11" t="b">
        <v>0</v>
      </c>
    </row>
    <row r="12" spans="1:9" x14ac:dyDescent="0.25">
      <c r="A12" t="s">
        <v>92</v>
      </c>
      <c r="B12" t="str">
        <f t="shared" si="0"/>
        <v>Shatter</v>
      </c>
      <c r="C12" t="s">
        <v>33</v>
      </c>
      <c r="D12" t="s">
        <v>303</v>
      </c>
      <c r="H12" t="str">
        <f t="shared" si="1"/>
        <v/>
      </c>
      <c r="I12" t="b">
        <v>0</v>
      </c>
    </row>
    <row r="13" spans="1:9" x14ac:dyDescent="0.25">
      <c r="A13" t="s">
        <v>93</v>
      </c>
      <c r="B13" t="str">
        <f t="shared" si="0"/>
        <v>Carrion</v>
      </c>
      <c r="C13" t="s">
        <v>29</v>
      </c>
      <c r="D13" t="s">
        <v>302</v>
      </c>
      <c r="H13" t="str">
        <f t="shared" si="1"/>
        <v/>
      </c>
      <c r="I13" t="b">
        <v>0</v>
      </c>
    </row>
    <row r="14" spans="1:9" x14ac:dyDescent="0.25">
      <c r="A14" t="s">
        <v>94</v>
      </c>
      <c r="B14" t="str">
        <f t="shared" si="0"/>
        <v>Outbreak</v>
      </c>
      <c r="C14" t="s">
        <v>29</v>
      </c>
      <c r="D14" t="s">
        <v>301</v>
      </c>
      <c r="H14" t="str">
        <f t="shared" si="1"/>
        <v/>
      </c>
      <c r="I14" t="b">
        <v>0</v>
      </c>
    </row>
    <row r="15" spans="1:9" x14ac:dyDescent="0.25">
      <c r="A15" t="s">
        <v>95</v>
      </c>
      <c r="B15" t="str">
        <f t="shared" si="0"/>
        <v>Virulence</v>
      </c>
      <c r="C15" t="s">
        <v>29</v>
      </c>
      <c r="D15" t="s">
        <v>300</v>
      </c>
      <c r="H15" t="str">
        <f t="shared" si="1"/>
        <v/>
      </c>
      <c r="I15" t="b">
        <v>0</v>
      </c>
    </row>
    <row r="16" spans="1:9" x14ac:dyDescent="0.25">
      <c r="A16" t="s">
        <v>284</v>
      </c>
      <c r="B16" t="str">
        <f t="shared" si="0"/>
        <v>Enchant</v>
      </c>
      <c r="C16" t="s">
        <v>35</v>
      </c>
      <c r="D16" t="s">
        <v>96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97</v>
      </c>
      <c r="B17" t="str">
        <f t="shared" si="0"/>
        <v>Hoarder</v>
      </c>
      <c r="C17" t="s">
        <v>35</v>
      </c>
      <c r="D17" t="s">
        <v>286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285</v>
      </c>
      <c r="B18" t="str">
        <f t="shared" si="0"/>
        <v>Secure</v>
      </c>
      <c r="C18" t="s">
        <v>35</v>
      </c>
      <c r="D18" t="s">
        <v>306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98</v>
      </c>
      <c r="B19" t="str">
        <f t="shared" si="0"/>
        <v>Affinity</v>
      </c>
      <c r="C19" t="s">
        <v>35</v>
      </c>
      <c r="D19" t="s">
        <v>305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99</v>
      </c>
      <c r="B20" t="str">
        <f t="shared" si="0"/>
        <v>Retribution</v>
      </c>
      <c r="C20" t="s">
        <v>36</v>
      </c>
      <c r="D20" t="s">
        <v>100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101</v>
      </c>
      <c r="B21" t="str">
        <f t="shared" si="0"/>
        <v>Flexible</v>
      </c>
      <c r="C21" t="s">
        <v>36</v>
      </c>
      <c r="D21" t="s">
        <v>102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103</v>
      </c>
      <c r="B22" t="str">
        <f t="shared" si="0"/>
        <v>Shield</v>
      </c>
      <c r="C22" t="s">
        <v>36</v>
      </c>
      <c r="D22" t="s">
        <v>104</v>
      </c>
      <c r="H22" t="str">
        <f t="shared" si="1"/>
        <v/>
      </c>
      <c r="I22" t="b">
        <v>0</v>
      </c>
    </row>
    <row r="23" spans="1:9" x14ac:dyDescent="0.25">
      <c r="A23" t="s">
        <v>271</v>
      </c>
      <c r="B23" t="str">
        <f t="shared" si="0"/>
        <v>Experience</v>
      </c>
      <c r="C23" t="s">
        <v>265</v>
      </c>
      <c r="D23" t="s">
        <v>267</v>
      </c>
      <c r="H23" t="str">
        <f t="shared" si="1"/>
        <v/>
      </c>
      <c r="I23" t="b">
        <v>0</v>
      </c>
    </row>
    <row r="24" spans="1:9" x14ac:dyDescent="0.25">
      <c r="A24" t="s">
        <v>269</v>
      </c>
      <c r="B24" t="str">
        <f t="shared" si="0"/>
        <v>Stalk</v>
      </c>
      <c r="C24" t="s">
        <v>265</v>
      </c>
      <c r="D24" t="s">
        <v>268</v>
      </c>
      <c r="H24" t="str">
        <f t="shared" si="1"/>
        <v/>
      </c>
      <c r="I24" t="b">
        <v>0</v>
      </c>
    </row>
    <row r="25" spans="1:9" x14ac:dyDescent="0.25">
      <c r="A25" t="s">
        <v>270</v>
      </c>
      <c r="B25" t="str">
        <f t="shared" si="0"/>
        <v>Fright</v>
      </c>
      <c r="C25" t="s">
        <v>265</v>
      </c>
      <c r="D25" t="s">
        <v>299</v>
      </c>
      <c r="H25" t="str">
        <f t="shared" si="1"/>
        <v/>
      </c>
      <c r="I25" t="b">
        <v>0</v>
      </c>
    </row>
    <row r="26" spans="1:9" x14ac:dyDescent="0.25">
      <c r="A26" t="s">
        <v>288</v>
      </c>
      <c r="B26" t="str">
        <f t="shared" si="0"/>
        <v>Gravity</v>
      </c>
      <c r="C26" t="s">
        <v>262</v>
      </c>
      <c r="D26" t="s">
        <v>289</v>
      </c>
      <c r="H26" t="str">
        <f t="shared" si="1"/>
        <v/>
      </c>
      <c r="I26" t="b">
        <v>0</v>
      </c>
    </row>
    <row r="27" spans="1:9" x14ac:dyDescent="0.25">
      <c r="A27" t="s">
        <v>310</v>
      </c>
      <c r="B27" t="str">
        <f t="shared" si="0"/>
        <v>Recharge</v>
      </c>
      <c r="C27" t="s">
        <v>308</v>
      </c>
      <c r="D27" t="s">
        <v>312</v>
      </c>
      <c r="E27" t="s">
        <v>27</v>
      </c>
      <c r="F27" t="s">
        <v>27</v>
      </c>
      <c r="G27" t="s">
        <v>27</v>
      </c>
      <c r="H27" t="str">
        <f t="shared" si="1"/>
        <v>Air|Air|Air</v>
      </c>
      <c r="I27" t="b">
        <v>0</v>
      </c>
    </row>
    <row r="28" spans="1:9" x14ac:dyDescent="0.25">
      <c r="C28" t="s">
        <v>308</v>
      </c>
      <c r="D28" t="s">
        <v>311</v>
      </c>
      <c r="E28" t="s">
        <v>27</v>
      </c>
      <c r="F28" t="s">
        <v>28</v>
      </c>
      <c r="G28" t="s">
        <v>28</v>
      </c>
      <c r="H28" t="str">
        <f t="shared" si="1"/>
        <v>Air|Fire|Fire</v>
      </c>
      <c r="I28" t="b">
        <v>0</v>
      </c>
    </row>
    <row r="29" spans="1:9" x14ac:dyDescent="0.25">
      <c r="C29" t="s">
        <v>308</v>
      </c>
      <c r="D29" t="s">
        <v>313</v>
      </c>
      <c r="E29" t="s">
        <v>27</v>
      </c>
      <c r="F29" t="s">
        <v>34</v>
      </c>
      <c r="G29" t="s">
        <v>34</v>
      </c>
      <c r="H29" t="str">
        <f t="shared" si="1"/>
        <v>Air|Water|Water</v>
      </c>
      <c r="I29" t="b">
        <v>0</v>
      </c>
    </row>
    <row r="30" spans="1:9" x14ac:dyDescent="0.25">
      <c r="C30" t="s">
        <v>291</v>
      </c>
      <c r="D30" t="s">
        <v>314</v>
      </c>
      <c r="H30" t="str">
        <f t="shared" si="1"/>
        <v/>
      </c>
      <c r="I30" t="b">
        <v>0</v>
      </c>
    </row>
    <row r="31" spans="1:9" x14ac:dyDescent="0.25">
      <c r="H31" t="str">
        <f t="shared" si="1"/>
        <v/>
      </c>
    </row>
    <row r="32" spans="1:9" x14ac:dyDescent="0.25">
      <c r="D32" t="s">
        <v>317</v>
      </c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AC-7326-47E8-9F14-D9D50EC3456E}">
  <sheetPr>
    <tabColor theme="4" tint="0.59999389629810485"/>
  </sheetPr>
  <dimension ref="A1:G52"/>
  <sheetViews>
    <sheetView tabSelected="1" workbookViewId="0">
      <selection activeCell="C15" sqref="C15"/>
    </sheetView>
  </sheetViews>
  <sheetFormatPr defaultRowHeight="15" x14ac:dyDescent="0.25"/>
  <cols>
    <col min="1" max="1" width="14.42578125" customWidth="1"/>
    <col min="2" max="2" width="14.28515625" customWidth="1"/>
    <col min="3" max="3" width="94.42578125" bestFit="1" customWidth="1"/>
    <col min="4" max="4" width="21.7109375" customWidth="1"/>
    <col min="5" max="5" width="37.42578125" customWidth="1"/>
    <col min="13" max="13" width="95.85546875" customWidth="1"/>
  </cols>
  <sheetData>
    <row r="1" spans="1:7" x14ac:dyDescent="0.25">
      <c r="A1" s="4" t="s">
        <v>0</v>
      </c>
      <c r="B1" s="4" t="s">
        <v>1</v>
      </c>
      <c r="C1" s="4" t="s">
        <v>42</v>
      </c>
      <c r="D1" s="4" t="s">
        <v>351</v>
      </c>
      <c r="E1" s="13" t="s">
        <v>334</v>
      </c>
      <c r="F1" s="13" t="s">
        <v>21</v>
      </c>
      <c r="G1" s="3" t="s">
        <v>322</v>
      </c>
    </row>
    <row r="2" spans="1:7" x14ac:dyDescent="0.25">
      <c r="A2" t="s">
        <v>330</v>
      </c>
      <c r="B2" t="str">
        <f t="shared" ref="B2:B52" si="0">PROPER(SUBSTITUTE(A2,"_"," "))</f>
        <v>Frostburn</v>
      </c>
      <c r="C2" t="s">
        <v>315</v>
      </c>
      <c r="D2" t="s">
        <v>428</v>
      </c>
      <c r="E2" t="str">
        <f>"res://ui/rites/"&amp;A2&amp;".png"</f>
        <v>res://ui/rites/frostburn.png</v>
      </c>
      <c r="F2" t="b">
        <v>1</v>
      </c>
    </row>
    <row r="3" spans="1:7" x14ac:dyDescent="0.25">
      <c r="A3" t="s">
        <v>339</v>
      </c>
      <c r="B3" t="str">
        <f t="shared" si="0"/>
        <v>Ward</v>
      </c>
      <c r="C3" t="s">
        <v>331</v>
      </c>
      <c r="D3" t="s">
        <v>429</v>
      </c>
      <c r="E3" t="str">
        <f t="shared" ref="E3:E52" si="1">"res://ui/rites/"&amp;A3&amp;".png"</f>
        <v>res://ui/rites/ward.png</v>
      </c>
      <c r="F3" t="b">
        <v>1</v>
      </c>
      <c r="G3">
        <v>3</v>
      </c>
    </row>
    <row r="4" spans="1:7" x14ac:dyDescent="0.25">
      <c r="A4" t="s">
        <v>332</v>
      </c>
      <c r="B4" t="str">
        <f t="shared" si="0"/>
        <v>Efficiancy</v>
      </c>
      <c r="C4" t="s">
        <v>316</v>
      </c>
      <c r="D4" t="s">
        <v>430</v>
      </c>
      <c r="E4" t="str">
        <f t="shared" si="1"/>
        <v>res://ui/rites/efficiancy.png</v>
      </c>
    </row>
    <row r="5" spans="1:7" x14ac:dyDescent="0.25">
      <c r="A5" t="s">
        <v>340</v>
      </c>
      <c r="B5" t="str">
        <f t="shared" si="0"/>
        <v>Rebate</v>
      </c>
      <c r="C5" t="s">
        <v>341</v>
      </c>
      <c r="D5" t="s">
        <v>422</v>
      </c>
      <c r="E5" t="str">
        <f t="shared" si="1"/>
        <v>res://ui/rites/rebate.png</v>
      </c>
    </row>
    <row r="6" spans="1:7" x14ac:dyDescent="0.25">
      <c r="A6" t="s">
        <v>342</v>
      </c>
      <c r="B6" t="str">
        <f t="shared" si="0"/>
        <v>Grace</v>
      </c>
      <c r="C6" t="s">
        <v>320</v>
      </c>
      <c r="D6" t="s">
        <v>392</v>
      </c>
      <c r="E6" t="str">
        <f t="shared" si="1"/>
        <v>res://ui/rites/grace.png</v>
      </c>
    </row>
    <row r="7" spans="1:7" x14ac:dyDescent="0.25">
      <c r="A7" t="s">
        <v>343</v>
      </c>
      <c r="B7" t="str">
        <f t="shared" si="0"/>
        <v>Flux</v>
      </c>
      <c r="C7" t="s">
        <v>321</v>
      </c>
      <c r="D7" t="s">
        <v>352</v>
      </c>
      <c r="E7" t="str">
        <f t="shared" si="1"/>
        <v>res://ui/rites/flux.png</v>
      </c>
    </row>
    <row r="8" spans="1:7" x14ac:dyDescent="0.25">
      <c r="A8" t="s">
        <v>333</v>
      </c>
      <c r="B8" t="str">
        <f t="shared" si="0"/>
        <v>Accelerant</v>
      </c>
      <c r="C8" t="s">
        <v>431</v>
      </c>
      <c r="D8" t="s">
        <v>432</v>
      </c>
      <c r="E8" t="str">
        <f t="shared" si="1"/>
        <v>res://ui/rites/accelerant.png</v>
      </c>
    </row>
    <row r="9" spans="1:7" x14ac:dyDescent="0.25">
      <c r="A9" t="s">
        <v>344</v>
      </c>
      <c r="B9" t="str">
        <f t="shared" si="0"/>
        <v>Clash</v>
      </c>
      <c r="C9" t="s">
        <v>336</v>
      </c>
      <c r="D9" t="s">
        <v>248</v>
      </c>
      <c r="E9" t="str">
        <f t="shared" si="1"/>
        <v>res://ui/rites/clash.png</v>
      </c>
      <c r="F9" t="b">
        <v>1</v>
      </c>
    </row>
    <row r="10" spans="1:7" x14ac:dyDescent="0.25">
      <c r="A10" t="s">
        <v>345</v>
      </c>
      <c r="B10" t="str">
        <f t="shared" si="0"/>
        <v>Skewer</v>
      </c>
      <c r="C10" t="s">
        <v>318</v>
      </c>
      <c r="D10" t="s">
        <v>434</v>
      </c>
      <c r="E10" t="str">
        <f t="shared" si="1"/>
        <v>res://ui/rites/skewer.png</v>
      </c>
      <c r="G10">
        <v>1</v>
      </c>
    </row>
    <row r="11" spans="1:7" x14ac:dyDescent="0.25">
      <c r="A11" t="s">
        <v>346</v>
      </c>
      <c r="B11" t="str">
        <f t="shared" si="0"/>
        <v>Concuss</v>
      </c>
      <c r="C11" t="s">
        <v>435</v>
      </c>
      <c r="D11" t="s">
        <v>422</v>
      </c>
      <c r="E11" t="str">
        <f t="shared" si="1"/>
        <v>res://ui/rites/concuss.png</v>
      </c>
      <c r="G11">
        <v>1</v>
      </c>
    </row>
    <row r="12" spans="1:7" x14ac:dyDescent="0.25">
      <c r="A12" t="s">
        <v>436</v>
      </c>
      <c r="B12" t="str">
        <f t="shared" si="0"/>
        <v>Mining</v>
      </c>
      <c r="C12" t="s">
        <v>319</v>
      </c>
      <c r="D12" t="s">
        <v>433</v>
      </c>
      <c r="E12" t="str">
        <f t="shared" si="1"/>
        <v>res://ui/rites/mining.png</v>
      </c>
      <c r="G12">
        <v>2</v>
      </c>
    </row>
    <row r="13" spans="1:7" x14ac:dyDescent="0.25">
      <c r="A13" t="s">
        <v>348</v>
      </c>
      <c r="B13" t="str">
        <f t="shared" si="0"/>
        <v>Ballast</v>
      </c>
      <c r="C13" t="s">
        <v>337</v>
      </c>
      <c r="D13" t="s">
        <v>422</v>
      </c>
      <c r="E13" t="str">
        <f t="shared" si="1"/>
        <v>res://ui/rites/ballast.png</v>
      </c>
      <c r="G13">
        <v>1</v>
      </c>
    </row>
    <row r="14" spans="1:7" x14ac:dyDescent="0.25">
      <c r="A14" t="s">
        <v>324</v>
      </c>
      <c r="B14" t="str">
        <f t="shared" si="0"/>
        <v>Tithe</v>
      </c>
      <c r="C14" t="s">
        <v>323</v>
      </c>
      <c r="D14" t="s">
        <v>430</v>
      </c>
      <c r="E14" t="str">
        <f t="shared" si="1"/>
        <v>res://ui/rites/tithe.png</v>
      </c>
      <c r="G14">
        <v>1</v>
      </c>
    </row>
    <row r="15" spans="1:7" x14ac:dyDescent="0.25">
      <c r="A15" t="s">
        <v>326</v>
      </c>
      <c r="B15" t="str">
        <f t="shared" si="0"/>
        <v>Groove</v>
      </c>
      <c r="C15" t="s">
        <v>325</v>
      </c>
      <c r="D15" t="s">
        <v>430</v>
      </c>
      <c r="E15" t="str">
        <f t="shared" si="1"/>
        <v>res://ui/rites/groove.png</v>
      </c>
      <c r="G15">
        <v>1</v>
      </c>
    </row>
    <row r="16" spans="1:7" x14ac:dyDescent="0.25">
      <c r="A16" t="s">
        <v>327</v>
      </c>
      <c r="B16" t="str">
        <f t="shared" si="0"/>
        <v>Boil</v>
      </c>
      <c r="C16" t="s">
        <v>335</v>
      </c>
      <c r="D16" t="s">
        <v>17</v>
      </c>
      <c r="E16" t="str">
        <f t="shared" si="1"/>
        <v>res://ui/rites/boil.png</v>
      </c>
      <c r="G16">
        <v>2</v>
      </c>
    </row>
    <row r="17" spans="1:7" x14ac:dyDescent="0.25">
      <c r="A17" t="s">
        <v>350</v>
      </c>
      <c r="B17" t="str">
        <f t="shared" si="0"/>
        <v>Tempered</v>
      </c>
      <c r="C17" t="s">
        <v>328</v>
      </c>
      <c r="D17" t="s">
        <v>422</v>
      </c>
      <c r="E17" t="str">
        <f t="shared" si="1"/>
        <v>res://ui/rites/tempered.png</v>
      </c>
      <c r="F17" t="b">
        <v>1</v>
      </c>
      <c r="G17">
        <v>2</v>
      </c>
    </row>
    <row r="18" spans="1:7" x14ac:dyDescent="0.25">
      <c r="A18" t="s">
        <v>349</v>
      </c>
      <c r="B18" t="str">
        <f t="shared" si="0"/>
        <v>Swell</v>
      </c>
      <c r="C18" t="s">
        <v>329</v>
      </c>
      <c r="D18" t="s">
        <v>427</v>
      </c>
      <c r="E18" t="str">
        <f t="shared" si="1"/>
        <v>res://ui/rites/swell.png</v>
      </c>
    </row>
    <row r="19" spans="1:7" x14ac:dyDescent="0.25">
      <c r="A19" t="s">
        <v>353</v>
      </c>
      <c r="B19" t="str">
        <f t="shared" si="0"/>
        <v>Ember</v>
      </c>
      <c r="C19" t="s">
        <v>354</v>
      </c>
      <c r="D19" t="s">
        <v>16</v>
      </c>
      <c r="E19" t="str">
        <f t="shared" si="1"/>
        <v>res://ui/rites/ember.png</v>
      </c>
      <c r="G19">
        <v>1</v>
      </c>
    </row>
    <row r="20" spans="1:7" x14ac:dyDescent="0.25">
      <c r="A20" t="s">
        <v>355</v>
      </c>
      <c r="B20" t="str">
        <f t="shared" si="0"/>
        <v>Smolder</v>
      </c>
      <c r="C20" t="s">
        <v>356</v>
      </c>
      <c r="D20" t="s">
        <v>16</v>
      </c>
      <c r="E20" t="str">
        <f t="shared" si="1"/>
        <v>res://ui/rites/smolder.png</v>
      </c>
      <c r="G20">
        <v>2</v>
      </c>
    </row>
    <row r="21" spans="1:7" x14ac:dyDescent="0.25">
      <c r="A21" t="s">
        <v>358</v>
      </c>
      <c r="B21" t="str">
        <f t="shared" si="0"/>
        <v>Mercy</v>
      </c>
      <c r="C21" t="s">
        <v>357</v>
      </c>
      <c r="D21" t="s">
        <v>392</v>
      </c>
      <c r="E21" t="str">
        <f t="shared" si="1"/>
        <v>res://ui/rites/mercy.png</v>
      </c>
      <c r="G21">
        <v>1</v>
      </c>
    </row>
    <row r="22" spans="1:7" x14ac:dyDescent="0.25">
      <c r="A22" t="s">
        <v>360</v>
      </c>
      <c r="B22" t="str">
        <f t="shared" si="0"/>
        <v>Heft</v>
      </c>
      <c r="C22" t="s">
        <v>359</v>
      </c>
      <c r="D22" t="s">
        <v>392</v>
      </c>
      <c r="E22" t="str">
        <f t="shared" si="1"/>
        <v>res://ui/rites/heft.png</v>
      </c>
      <c r="G22">
        <v>2</v>
      </c>
    </row>
    <row r="23" spans="1:7" x14ac:dyDescent="0.25">
      <c r="A23" t="s">
        <v>362</v>
      </c>
      <c r="B23" t="str">
        <f t="shared" si="0"/>
        <v>Followthrough</v>
      </c>
      <c r="C23" t="s">
        <v>361</v>
      </c>
      <c r="D23" t="s">
        <v>392</v>
      </c>
      <c r="E23" t="str">
        <f t="shared" si="1"/>
        <v>res://ui/rites/followthrough.png</v>
      </c>
      <c r="G23">
        <v>1</v>
      </c>
    </row>
    <row r="24" spans="1:7" x14ac:dyDescent="0.25">
      <c r="A24" t="s">
        <v>363</v>
      </c>
      <c r="B24" t="str">
        <f t="shared" si="0"/>
        <v>Martyr</v>
      </c>
      <c r="C24" t="s">
        <v>364</v>
      </c>
      <c r="D24" t="s">
        <v>391</v>
      </c>
      <c r="E24" t="str">
        <f t="shared" si="1"/>
        <v>res://ui/rites/martyr.png</v>
      </c>
      <c r="G24">
        <v>2</v>
      </c>
    </row>
    <row r="25" spans="1:7" x14ac:dyDescent="0.25">
      <c r="A25" t="s">
        <v>365</v>
      </c>
      <c r="B25" t="str">
        <f t="shared" si="0"/>
        <v>Penance</v>
      </c>
      <c r="C25" t="s">
        <v>366</v>
      </c>
      <c r="D25" t="s">
        <v>391</v>
      </c>
      <c r="E25" t="str">
        <f t="shared" si="1"/>
        <v>res://ui/rites/penance.png</v>
      </c>
      <c r="G25">
        <v>2</v>
      </c>
    </row>
    <row r="26" spans="1:7" x14ac:dyDescent="0.25">
      <c r="A26" t="s">
        <v>367</v>
      </c>
      <c r="B26" t="str">
        <f t="shared" si="0"/>
        <v>Surrogate</v>
      </c>
      <c r="C26" t="s">
        <v>368</v>
      </c>
      <c r="D26" t="s">
        <v>391</v>
      </c>
      <c r="E26" t="str">
        <f t="shared" si="1"/>
        <v>res://ui/rites/surrogate.png</v>
      </c>
      <c r="G26">
        <v>2</v>
      </c>
    </row>
    <row r="27" spans="1:7" x14ac:dyDescent="0.25">
      <c r="A27" t="s">
        <v>369</v>
      </c>
      <c r="B27" t="str">
        <f t="shared" si="0"/>
        <v>Glass</v>
      </c>
      <c r="C27" t="s">
        <v>370</v>
      </c>
      <c r="D27" t="s">
        <v>391</v>
      </c>
      <c r="E27" t="str">
        <f t="shared" si="1"/>
        <v>res://ui/rites/glass.png</v>
      </c>
      <c r="G27">
        <v>2</v>
      </c>
    </row>
    <row r="28" spans="1:7" x14ac:dyDescent="0.25">
      <c r="A28" t="s">
        <v>371</v>
      </c>
      <c r="B28" t="str">
        <f t="shared" si="0"/>
        <v>Payback</v>
      </c>
      <c r="C28" t="s">
        <v>372</v>
      </c>
      <c r="D28" t="s">
        <v>391</v>
      </c>
      <c r="E28" t="str">
        <f t="shared" si="1"/>
        <v>res://ui/rites/payback.png</v>
      </c>
      <c r="G28">
        <v>2</v>
      </c>
    </row>
    <row r="29" spans="1:7" x14ac:dyDescent="0.25">
      <c r="A29" t="s">
        <v>373</v>
      </c>
      <c r="B29" t="str">
        <f t="shared" si="0"/>
        <v>Reduce</v>
      </c>
      <c r="C29" t="s">
        <v>374</v>
      </c>
      <c r="D29" t="s">
        <v>391</v>
      </c>
      <c r="E29" t="str">
        <f t="shared" si="1"/>
        <v>res://ui/rites/reduce.png</v>
      </c>
      <c r="G29">
        <v>2</v>
      </c>
    </row>
    <row r="30" spans="1:7" x14ac:dyDescent="0.25">
      <c r="A30" t="s">
        <v>375</v>
      </c>
      <c r="B30" t="str">
        <f t="shared" si="0"/>
        <v>Surplus</v>
      </c>
      <c r="C30" t="s">
        <v>376</v>
      </c>
      <c r="D30" t="s">
        <v>390</v>
      </c>
      <c r="E30" t="str">
        <f t="shared" si="1"/>
        <v>res://ui/rites/surplus.png</v>
      </c>
      <c r="G30">
        <v>1</v>
      </c>
    </row>
    <row r="31" spans="1:7" x14ac:dyDescent="0.25">
      <c r="A31" t="s">
        <v>377</v>
      </c>
      <c r="B31" t="str">
        <f t="shared" si="0"/>
        <v>Refund</v>
      </c>
      <c r="C31" t="s">
        <v>378</v>
      </c>
      <c r="D31" t="s">
        <v>390</v>
      </c>
      <c r="E31" t="str">
        <f t="shared" si="1"/>
        <v>res://ui/rites/refund.png</v>
      </c>
      <c r="G31">
        <v>3</v>
      </c>
    </row>
    <row r="32" spans="1:7" x14ac:dyDescent="0.25">
      <c r="A32" t="s">
        <v>379</v>
      </c>
      <c r="B32" t="str">
        <f t="shared" si="0"/>
        <v>Subsidy</v>
      </c>
      <c r="C32" t="s">
        <v>380</v>
      </c>
      <c r="D32" t="s">
        <v>390</v>
      </c>
      <c r="E32" t="str">
        <f t="shared" si="1"/>
        <v>res://ui/rites/subsidy.png</v>
      </c>
      <c r="G32">
        <v>2</v>
      </c>
    </row>
    <row r="33" spans="1:7" x14ac:dyDescent="0.25">
      <c r="A33" t="s">
        <v>381</v>
      </c>
      <c r="B33" t="str">
        <f t="shared" si="0"/>
        <v>Swarm</v>
      </c>
      <c r="C33" t="s">
        <v>382</v>
      </c>
      <c r="D33" t="s">
        <v>390</v>
      </c>
      <c r="E33" t="str">
        <f t="shared" si="1"/>
        <v>res://ui/rites/swarm.png</v>
      </c>
      <c r="G33">
        <v>1</v>
      </c>
    </row>
    <row r="34" spans="1:7" x14ac:dyDescent="0.25">
      <c r="A34" t="s">
        <v>347</v>
      </c>
      <c r="B34" t="str">
        <f t="shared" si="0"/>
        <v>Salvage</v>
      </c>
      <c r="C34" t="s">
        <v>383</v>
      </c>
      <c r="D34" t="s">
        <v>390</v>
      </c>
      <c r="E34" t="str">
        <f t="shared" si="1"/>
        <v>res://ui/rites/salvage.png</v>
      </c>
      <c r="G34">
        <v>1</v>
      </c>
    </row>
    <row r="35" spans="1:7" x14ac:dyDescent="0.25">
      <c r="A35" t="s">
        <v>384</v>
      </c>
      <c r="B35" t="str">
        <f t="shared" si="0"/>
        <v>Premium</v>
      </c>
      <c r="C35" t="s">
        <v>385</v>
      </c>
      <c r="D35" t="s">
        <v>390</v>
      </c>
      <c r="E35" t="str">
        <f t="shared" si="1"/>
        <v>res://ui/rites/premium.png</v>
      </c>
      <c r="G35">
        <v>2</v>
      </c>
    </row>
    <row r="36" spans="1:7" x14ac:dyDescent="0.25">
      <c r="A36" t="s">
        <v>387</v>
      </c>
      <c r="B36" t="str">
        <f t="shared" si="0"/>
        <v>Vigil</v>
      </c>
      <c r="C36" t="s">
        <v>386</v>
      </c>
      <c r="D36" t="s">
        <v>390</v>
      </c>
      <c r="E36" t="str">
        <f t="shared" si="1"/>
        <v>res://ui/rites/vigil.png</v>
      </c>
      <c r="G36">
        <v>1</v>
      </c>
    </row>
    <row r="37" spans="1:7" x14ac:dyDescent="0.25">
      <c r="A37" t="s">
        <v>388</v>
      </c>
      <c r="B37" t="str">
        <f t="shared" si="0"/>
        <v>Keeper</v>
      </c>
      <c r="C37" t="s">
        <v>389</v>
      </c>
      <c r="D37" t="s">
        <v>390</v>
      </c>
      <c r="E37" t="str">
        <f t="shared" si="1"/>
        <v>res://ui/rites/keeper.png</v>
      </c>
      <c r="G37">
        <v>1</v>
      </c>
    </row>
    <row r="38" spans="1:7" x14ac:dyDescent="0.25">
      <c r="A38" t="s">
        <v>394</v>
      </c>
      <c r="B38" t="str">
        <f t="shared" si="0"/>
        <v>Unburden</v>
      </c>
      <c r="C38" t="s">
        <v>393</v>
      </c>
      <c r="D38" t="s">
        <v>422</v>
      </c>
      <c r="E38" t="str">
        <f t="shared" si="1"/>
        <v>res://ui/rites/unburden.png</v>
      </c>
    </row>
    <row r="39" spans="1:7" x14ac:dyDescent="0.25">
      <c r="A39" t="s">
        <v>395</v>
      </c>
      <c r="B39" t="str">
        <f t="shared" si="0"/>
        <v>Courier</v>
      </c>
      <c r="C39" t="s">
        <v>396</v>
      </c>
      <c r="D39" t="s">
        <v>422</v>
      </c>
      <c r="E39" t="str">
        <f t="shared" si="1"/>
        <v>res://ui/rites/courier.png</v>
      </c>
    </row>
    <row r="40" spans="1:7" x14ac:dyDescent="0.25">
      <c r="A40" t="s">
        <v>402</v>
      </c>
      <c r="B40" t="str">
        <f t="shared" si="0"/>
        <v>Auspice</v>
      </c>
      <c r="C40" t="s">
        <v>397</v>
      </c>
      <c r="D40" t="s">
        <v>422</v>
      </c>
      <c r="E40" t="str">
        <f t="shared" si="1"/>
        <v>res://ui/rites/auspice.png</v>
      </c>
    </row>
    <row r="41" spans="1:7" x14ac:dyDescent="0.25">
      <c r="A41" t="s">
        <v>401</v>
      </c>
      <c r="B41" t="str">
        <f t="shared" si="0"/>
        <v>Brittle</v>
      </c>
      <c r="C41" t="s">
        <v>398</v>
      </c>
      <c r="D41" t="s">
        <v>422</v>
      </c>
      <c r="E41" t="str">
        <f t="shared" si="1"/>
        <v>res://ui/rites/brittle.png</v>
      </c>
    </row>
    <row r="42" spans="1:7" x14ac:dyDescent="0.25">
      <c r="A42" t="s">
        <v>399</v>
      </c>
      <c r="B42" t="str">
        <f t="shared" si="0"/>
        <v>Imbue</v>
      </c>
      <c r="C42" t="s">
        <v>400</v>
      </c>
      <c r="D42" t="s">
        <v>422</v>
      </c>
      <c r="E42" t="str">
        <f t="shared" si="1"/>
        <v>res://ui/rites/imbue.png</v>
      </c>
    </row>
    <row r="43" spans="1:7" x14ac:dyDescent="0.25">
      <c r="A43" t="s">
        <v>403</v>
      </c>
      <c r="B43" t="str">
        <f t="shared" si="0"/>
        <v>Sepsis</v>
      </c>
      <c r="C43" t="s">
        <v>404</v>
      </c>
      <c r="D43" t="s">
        <v>421</v>
      </c>
      <c r="E43" t="str">
        <f t="shared" si="1"/>
        <v>res://ui/rites/sepsis.png</v>
      </c>
    </row>
    <row r="44" spans="1:7" x14ac:dyDescent="0.25">
      <c r="A44" t="s">
        <v>405</v>
      </c>
      <c r="B44" t="str">
        <f t="shared" si="0"/>
        <v>Glacier</v>
      </c>
      <c r="C44" t="s">
        <v>406</v>
      </c>
      <c r="D44" t="s">
        <v>17</v>
      </c>
      <c r="E44" t="str">
        <f t="shared" si="1"/>
        <v>res://ui/rites/glacier.png</v>
      </c>
    </row>
    <row r="45" spans="1:7" x14ac:dyDescent="0.25">
      <c r="A45" t="s">
        <v>407</v>
      </c>
      <c r="B45" t="str">
        <f t="shared" si="0"/>
        <v>Hairpin</v>
      </c>
      <c r="C45" t="s">
        <v>408</v>
      </c>
      <c r="D45" t="s">
        <v>18</v>
      </c>
      <c r="E45" t="str">
        <f t="shared" si="1"/>
        <v>res://ui/rites/hairpin.png</v>
      </c>
    </row>
    <row r="46" spans="1:7" x14ac:dyDescent="0.25">
      <c r="A46" t="s">
        <v>409</v>
      </c>
      <c r="B46" t="str">
        <f t="shared" si="0"/>
        <v>Leftover</v>
      </c>
      <c r="C46" t="s">
        <v>410</v>
      </c>
      <c r="D46" t="s">
        <v>18</v>
      </c>
      <c r="E46" t="str">
        <f t="shared" si="1"/>
        <v>res://ui/rites/leftover.png</v>
      </c>
    </row>
    <row r="47" spans="1:7" x14ac:dyDescent="0.25">
      <c r="A47" t="s">
        <v>412</v>
      </c>
      <c r="B47" t="str">
        <f t="shared" si="0"/>
        <v>Daze</v>
      </c>
      <c r="C47" t="s">
        <v>411</v>
      </c>
      <c r="D47" t="s">
        <v>18</v>
      </c>
      <c r="E47" t="str">
        <f t="shared" si="1"/>
        <v>res://ui/rites/daze.png</v>
      </c>
    </row>
    <row r="48" spans="1:7" x14ac:dyDescent="0.25">
      <c r="A48" t="s">
        <v>415</v>
      </c>
      <c r="B48" t="str">
        <f t="shared" si="0"/>
        <v>Sickly</v>
      </c>
      <c r="C48" t="s">
        <v>416</v>
      </c>
      <c r="D48" t="s">
        <v>420</v>
      </c>
      <c r="E48" t="str">
        <f t="shared" si="1"/>
        <v>res://ui/rites/sickly.png</v>
      </c>
    </row>
    <row r="49" spans="1:5" x14ac:dyDescent="0.25">
      <c r="A49" t="s">
        <v>414</v>
      </c>
      <c r="B49" t="str">
        <f t="shared" si="0"/>
        <v>Wide</v>
      </c>
      <c r="C49" t="s">
        <v>413</v>
      </c>
      <c r="D49" t="s">
        <v>419</v>
      </c>
      <c r="E49" t="str">
        <f t="shared" si="1"/>
        <v>res://ui/rites/wide.png</v>
      </c>
    </row>
    <row r="50" spans="1:5" x14ac:dyDescent="0.25">
      <c r="A50" t="s">
        <v>270</v>
      </c>
      <c r="B50" t="str">
        <f t="shared" si="0"/>
        <v>Fright</v>
      </c>
      <c r="C50" t="s">
        <v>417</v>
      </c>
      <c r="D50" t="s">
        <v>418</v>
      </c>
      <c r="E50" t="str">
        <f t="shared" si="1"/>
        <v>res://ui/rites/fright.png</v>
      </c>
    </row>
    <row r="51" spans="1:5" x14ac:dyDescent="0.25">
      <c r="A51" t="s">
        <v>424</v>
      </c>
      <c r="B51" t="str">
        <f t="shared" si="0"/>
        <v>Fuse</v>
      </c>
      <c r="C51" t="s">
        <v>423</v>
      </c>
      <c r="D51" t="s">
        <v>418</v>
      </c>
      <c r="E51" t="str">
        <f t="shared" si="1"/>
        <v>res://ui/rites/fuse.png</v>
      </c>
    </row>
    <row r="52" spans="1:5" x14ac:dyDescent="0.25">
      <c r="A52" t="s">
        <v>426</v>
      </c>
      <c r="B52" t="str">
        <f t="shared" si="0"/>
        <v>Clearcut</v>
      </c>
      <c r="C52" t="s">
        <v>425</v>
      </c>
      <c r="D52" t="s">
        <v>433</v>
      </c>
      <c r="E52" t="str">
        <f t="shared" si="1"/>
        <v>res://ui/rites/clearcut.png</v>
      </c>
    </row>
  </sheetData>
  <autoFilter ref="A1:G18" xr:uid="{9F642FAC-7326-47E8-9F14-D9D50EC3456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17ED8"/>
  </sheetPr>
  <dimension ref="A1:C18"/>
  <sheetViews>
    <sheetView workbookViewId="0">
      <selection activeCell="D50" sqref="D50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105</v>
      </c>
    </row>
    <row r="3" spans="1:3" x14ac:dyDescent="0.25">
      <c r="A3" t="s">
        <v>106</v>
      </c>
      <c r="B3" t="str">
        <f t="shared" si="0"/>
        <v>Attracted</v>
      </c>
      <c r="C3" t="s">
        <v>107</v>
      </c>
    </row>
    <row r="4" spans="1:3" x14ac:dyDescent="0.25">
      <c r="A4" t="s">
        <v>41</v>
      </c>
      <c r="B4" t="str">
        <f t="shared" si="0"/>
        <v>Spite</v>
      </c>
      <c r="C4" t="s">
        <v>108</v>
      </c>
    </row>
    <row r="5" spans="1:3" x14ac:dyDescent="0.25">
      <c r="A5" t="s">
        <v>109</v>
      </c>
      <c r="B5" t="str">
        <f t="shared" si="0"/>
        <v>Rooted</v>
      </c>
      <c r="C5" t="s">
        <v>110</v>
      </c>
    </row>
    <row r="6" spans="1:3" x14ac:dyDescent="0.25">
      <c r="A6" t="s">
        <v>111</v>
      </c>
      <c r="B6" t="str">
        <f t="shared" si="0"/>
        <v>Patrol</v>
      </c>
      <c r="C6" t="s">
        <v>112</v>
      </c>
    </row>
    <row r="7" spans="1:3" x14ac:dyDescent="0.25">
      <c r="A7" t="s">
        <v>113</v>
      </c>
      <c r="B7" t="str">
        <f t="shared" si="0"/>
        <v>Familiar</v>
      </c>
      <c r="C7" t="s">
        <v>114</v>
      </c>
    </row>
    <row r="8" spans="1:3" x14ac:dyDescent="0.25">
      <c r="A8" t="s">
        <v>115</v>
      </c>
      <c r="B8" t="str">
        <f t="shared" si="0"/>
        <v>Rail</v>
      </c>
      <c r="C8" t="s">
        <v>116</v>
      </c>
    </row>
    <row r="9" spans="1:3" x14ac:dyDescent="0.25">
      <c r="A9" t="s">
        <v>117</v>
      </c>
      <c r="B9" t="str">
        <f t="shared" si="0"/>
        <v>Tide</v>
      </c>
      <c r="C9" t="s">
        <v>118</v>
      </c>
    </row>
    <row r="10" spans="1:3" x14ac:dyDescent="0.25">
      <c r="A10" t="s">
        <v>119</v>
      </c>
      <c r="B10" t="str">
        <f t="shared" si="0"/>
        <v>Blink</v>
      </c>
      <c r="C10" t="s">
        <v>120</v>
      </c>
    </row>
    <row r="11" spans="1:3" x14ac:dyDescent="0.25">
      <c r="A11" t="s">
        <v>121</v>
      </c>
      <c r="B11" t="str">
        <f t="shared" si="0"/>
        <v>Loyal</v>
      </c>
      <c r="C11" t="s">
        <v>122</v>
      </c>
    </row>
    <row r="12" spans="1:3" x14ac:dyDescent="0.25">
      <c r="A12" t="s">
        <v>123</v>
      </c>
      <c r="B12" t="str">
        <f t="shared" si="0"/>
        <v>Hexed</v>
      </c>
      <c r="C12" t="s">
        <v>124</v>
      </c>
    </row>
    <row r="13" spans="1:3" x14ac:dyDescent="0.25">
      <c r="A13" t="s">
        <v>125</v>
      </c>
      <c r="B13" t="str">
        <f t="shared" si="0"/>
        <v>Stalker</v>
      </c>
      <c r="C13" t="s">
        <v>126</v>
      </c>
    </row>
    <row r="14" spans="1:3" x14ac:dyDescent="0.25">
      <c r="A14" t="s">
        <v>127</v>
      </c>
      <c r="B14" t="str">
        <f t="shared" si="0"/>
        <v>Herd</v>
      </c>
      <c r="C14" t="s">
        <v>128</v>
      </c>
    </row>
    <row r="15" spans="1:3" x14ac:dyDescent="0.25">
      <c r="A15" t="s">
        <v>129</v>
      </c>
      <c r="B15" t="str">
        <f t="shared" si="0"/>
        <v>Greedy</v>
      </c>
      <c r="C15" t="s">
        <v>130</v>
      </c>
    </row>
    <row r="16" spans="1:3" x14ac:dyDescent="0.25">
      <c r="A16" t="s">
        <v>131</v>
      </c>
      <c r="B16" t="str">
        <f t="shared" si="0"/>
        <v>Oathbound</v>
      </c>
      <c r="C16" t="s">
        <v>132</v>
      </c>
    </row>
    <row r="17" spans="1:3" x14ac:dyDescent="0.25">
      <c r="A17" t="s">
        <v>133</v>
      </c>
      <c r="B17" t="str">
        <f t="shared" si="0"/>
        <v>Echo</v>
      </c>
      <c r="C17" t="s">
        <v>134</v>
      </c>
    </row>
    <row r="18" spans="1:3" x14ac:dyDescent="0.25">
      <c r="A18" t="s">
        <v>135</v>
      </c>
      <c r="B18" t="str">
        <f t="shared" si="0"/>
        <v>Phasing</v>
      </c>
      <c r="C18" t="s">
        <v>136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137</v>
      </c>
      <c r="E1" s="4" t="s">
        <v>2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144</v>
      </c>
      <c r="M1" s="4" t="s">
        <v>145</v>
      </c>
      <c r="N1" s="4" t="s">
        <v>146</v>
      </c>
      <c r="O1" s="3" t="s">
        <v>147</v>
      </c>
      <c r="P1" s="3" t="s">
        <v>148</v>
      </c>
      <c r="Q1" s="3" t="s">
        <v>149</v>
      </c>
      <c r="R1" s="3" t="s">
        <v>150</v>
      </c>
      <c r="S1" s="4" t="s">
        <v>151</v>
      </c>
      <c r="T1" s="4" t="s">
        <v>152</v>
      </c>
      <c r="U1" s="3" t="s">
        <v>21</v>
      </c>
    </row>
    <row r="2" spans="1:21" x14ac:dyDescent="0.25">
      <c r="A2" t="s">
        <v>153</v>
      </c>
      <c r="B2" t="str">
        <f t="shared" ref="B2:B33" si="0">PROPER(SUBSTITUTE(A2,"_"," "))</f>
        <v>Reception Desk</v>
      </c>
      <c r="C2" t="s">
        <v>154</v>
      </c>
      <c r="D2" t="s">
        <v>155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156</v>
      </c>
      <c r="O2">
        <v>2</v>
      </c>
      <c r="T2" t="s">
        <v>157</v>
      </c>
      <c r="U2" t="b">
        <v>1</v>
      </c>
    </row>
    <row r="3" spans="1:21" x14ac:dyDescent="0.25">
      <c r="A3" s="7" t="s">
        <v>158</v>
      </c>
      <c r="B3" t="str">
        <f t="shared" si="0"/>
        <v>Straw Pallet</v>
      </c>
      <c r="C3" t="s">
        <v>159</v>
      </c>
      <c r="D3" t="s">
        <v>160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156</v>
      </c>
      <c r="M3" t="s">
        <v>161</v>
      </c>
      <c r="O3">
        <v>2</v>
      </c>
      <c r="R3" t="b">
        <v>0</v>
      </c>
      <c r="U3" t="b">
        <v>0</v>
      </c>
    </row>
    <row r="4" spans="1:21" x14ac:dyDescent="0.25">
      <c r="A4" t="s">
        <v>162</v>
      </c>
      <c r="B4" t="str">
        <f t="shared" si="0"/>
        <v>Wood Frame Bed</v>
      </c>
      <c r="C4" t="s">
        <v>163</v>
      </c>
      <c r="D4" t="s">
        <v>160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156</v>
      </c>
      <c r="M4" t="s">
        <v>161</v>
      </c>
      <c r="O4">
        <v>2</v>
      </c>
      <c r="R4" t="b">
        <v>0</v>
      </c>
      <c r="S4" t="s">
        <v>164</v>
      </c>
      <c r="T4" t="s">
        <v>165</v>
      </c>
      <c r="U4" t="b">
        <v>1</v>
      </c>
    </row>
    <row r="5" spans="1:21" x14ac:dyDescent="0.25">
      <c r="A5" t="s">
        <v>166</v>
      </c>
      <c r="B5" t="str">
        <f t="shared" si="0"/>
        <v>Bunk Bed</v>
      </c>
      <c r="C5" t="s">
        <v>167</v>
      </c>
      <c r="D5" t="s">
        <v>160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156</v>
      </c>
      <c r="M5" t="s">
        <v>161</v>
      </c>
      <c r="O5">
        <v>2</v>
      </c>
      <c r="R5" t="b">
        <v>1</v>
      </c>
      <c r="S5" t="s">
        <v>168</v>
      </c>
      <c r="T5" t="s">
        <v>169</v>
      </c>
      <c r="U5" t="b">
        <v>1</v>
      </c>
    </row>
    <row r="6" spans="1:21" x14ac:dyDescent="0.25">
      <c r="A6" s="7" t="s">
        <v>170</v>
      </c>
      <c r="B6" t="str">
        <f t="shared" si="0"/>
        <v>Canopy Bed</v>
      </c>
      <c r="C6" t="s">
        <v>171</v>
      </c>
      <c r="D6" t="s">
        <v>160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156</v>
      </c>
      <c r="M6" t="s">
        <v>161</v>
      </c>
      <c r="O6">
        <v>2</v>
      </c>
      <c r="R6" t="b">
        <v>0</v>
      </c>
      <c r="U6" t="b">
        <v>0</v>
      </c>
    </row>
    <row r="7" spans="1:21" x14ac:dyDescent="0.25">
      <c r="A7" t="s">
        <v>172</v>
      </c>
      <c r="B7" t="str">
        <f t="shared" si="0"/>
        <v>Budget Wardrobe</v>
      </c>
      <c r="C7" t="s">
        <v>173</v>
      </c>
      <c r="D7" t="s">
        <v>174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156</v>
      </c>
      <c r="M7" t="s">
        <v>161</v>
      </c>
      <c r="O7">
        <v>3</v>
      </c>
      <c r="R7" t="b">
        <v>0</v>
      </c>
      <c r="S7" t="s">
        <v>175</v>
      </c>
      <c r="T7" t="s">
        <v>176</v>
      </c>
      <c r="U7" t="b">
        <v>1</v>
      </c>
    </row>
    <row r="8" spans="1:21" x14ac:dyDescent="0.25">
      <c r="A8" t="s">
        <v>177</v>
      </c>
      <c r="B8" t="str">
        <f t="shared" si="0"/>
        <v>Fine Wardrobe</v>
      </c>
      <c r="C8" t="s">
        <v>178</v>
      </c>
      <c r="D8" t="s">
        <v>174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156</v>
      </c>
      <c r="M8" t="s">
        <v>161</v>
      </c>
      <c r="O8">
        <v>3</v>
      </c>
      <c r="R8" t="b">
        <v>0</v>
      </c>
      <c r="S8" t="s">
        <v>175</v>
      </c>
      <c r="T8" t="s">
        <v>179</v>
      </c>
      <c r="U8" t="b">
        <v>1</v>
      </c>
    </row>
    <row r="9" spans="1:21" x14ac:dyDescent="0.25">
      <c r="A9" t="s">
        <v>180</v>
      </c>
      <c r="B9" t="str">
        <f t="shared" si="0"/>
        <v>Ornate Wardrobe</v>
      </c>
      <c r="D9" t="s">
        <v>174</v>
      </c>
      <c r="E9" t="s">
        <v>181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156</v>
      </c>
      <c r="M9" t="s">
        <v>161</v>
      </c>
      <c r="O9">
        <v>3</v>
      </c>
      <c r="R9" t="b">
        <v>0</v>
      </c>
      <c r="S9" t="s">
        <v>175</v>
      </c>
      <c r="T9" t="s">
        <v>182</v>
      </c>
      <c r="U9" t="b">
        <v>1</v>
      </c>
    </row>
    <row r="10" spans="1:21" x14ac:dyDescent="0.25">
      <c r="A10" s="7" t="s">
        <v>183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156</v>
      </c>
      <c r="M10" t="s">
        <v>161</v>
      </c>
      <c r="O10">
        <v>1</v>
      </c>
      <c r="R10" t="b">
        <v>0</v>
      </c>
      <c r="U10" t="b">
        <v>0</v>
      </c>
    </row>
    <row r="11" spans="1:21" x14ac:dyDescent="0.25">
      <c r="A11" s="7" t="s">
        <v>184</v>
      </c>
      <c r="B11" t="str">
        <f t="shared" si="0"/>
        <v>Wash Basin</v>
      </c>
      <c r="E11" t="s">
        <v>185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156</v>
      </c>
      <c r="M11" t="s">
        <v>161</v>
      </c>
      <c r="O11">
        <v>1</v>
      </c>
      <c r="R11" t="b">
        <v>0</v>
      </c>
      <c r="U11" t="b">
        <v>0</v>
      </c>
    </row>
    <row r="12" spans="1:21" x14ac:dyDescent="0.25">
      <c r="A12" s="7" t="s">
        <v>186</v>
      </c>
      <c r="B12" t="str">
        <f t="shared" si="0"/>
        <v>Artisan Rug</v>
      </c>
      <c r="E12" t="s">
        <v>187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156</v>
      </c>
      <c r="O12">
        <v>2</v>
      </c>
      <c r="R12" t="b">
        <v>0</v>
      </c>
      <c r="U12" t="b">
        <v>0</v>
      </c>
    </row>
    <row r="13" spans="1:21" x14ac:dyDescent="0.25">
      <c r="A13" s="7" t="s">
        <v>188</v>
      </c>
      <c r="B13" t="str">
        <f t="shared" si="0"/>
        <v>Mirror</v>
      </c>
      <c r="E13" t="s">
        <v>189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156</v>
      </c>
      <c r="M13" t="s">
        <v>161</v>
      </c>
      <c r="O13">
        <v>1</v>
      </c>
      <c r="R13" t="b">
        <v>0</v>
      </c>
      <c r="U13" t="b">
        <v>0</v>
      </c>
    </row>
    <row r="14" spans="1:21" x14ac:dyDescent="0.25">
      <c r="A14" s="7" t="s">
        <v>190</v>
      </c>
      <c r="B14" t="str">
        <f t="shared" si="0"/>
        <v>Trunk</v>
      </c>
      <c r="C14" t="s">
        <v>191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156</v>
      </c>
      <c r="M14" t="s">
        <v>161</v>
      </c>
      <c r="O14">
        <v>2</v>
      </c>
      <c r="R14" t="b">
        <v>0</v>
      </c>
      <c r="U14" t="b">
        <v>0</v>
      </c>
    </row>
    <row r="15" spans="1:21" x14ac:dyDescent="0.25">
      <c r="A15" s="7" t="s">
        <v>192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156</v>
      </c>
      <c r="O15">
        <v>3</v>
      </c>
      <c r="R15" t="b">
        <v>0</v>
      </c>
      <c r="U15" t="b">
        <v>0</v>
      </c>
    </row>
    <row r="16" spans="1:21" x14ac:dyDescent="0.25">
      <c r="A16" s="7" t="s">
        <v>193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156</v>
      </c>
      <c r="M16" t="s">
        <v>161</v>
      </c>
      <c r="O16">
        <v>1</v>
      </c>
      <c r="R16" t="b">
        <v>0</v>
      </c>
      <c r="U16" t="b">
        <v>0</v>
      </c>
    </row>
    <row r="17" spans="1:21" x14ac:dyDescent="0.25">
      <c r="A17" t="s">
        <v>194</v>
      </c>
      <c r="B17" t="str">
        <f t="shared" si="0"/>
        <v>Small Houseplant</v>
      </c>
      <c r="D17" t="s">
        <v>195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156</v>
      </c>
      <c r="O17">
        <v>1</v>
      </c>
      <c r="R17" t="b">
        <v>0</v>
      </c>
      <c r="S17" t="s">
        <v>196</v>
      </c>
      <c r="T17" t="s">
        <v>197</v>
      </c>
      <c r="U17" t="b">
        <v>1</v>
      </c>
    </row>
    <row r="18" spans="1:21" x14ac:dyDescent="0.25">
      <c r="A18" s="7" t="s">
        <v>198</v>
      </c>
      <c r="B18" t="str">
        <f t="shared" si="0"/>
        <v>Big Houseplant</v>
      </c>
      <c r="E18" s="1" t="s">
        <v>199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156</v>
      </c>
      <c r="O18">
        <v>2</v>
      </c>
      <c r="R18" t="b">
        <v>0</v>
      </c>
      <c r="U18" t="b">
        <v>0</v>
      </c>
    </row>
    <row r="19" spans="1:21" x14ac:dyDescent="0.25">
      <c r="A19" s="7" t="s">
        <v>200</v>
      </c>
      <c r="B19" t="str">
        <f t="shared" si="0"/>
        <v>Chamber Pot</v>
      </c>
      <c r="C19" t="s">
        <v>201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156</v>
      </c>
      <c r="M19" t="s">
        <v>142</v>
      </c>
      <c r="O19">
        <v>1</v>
      </c>
      <c r="R19" t="b">
        <v>0</v>
      </c>
      <c r="U19" t="b">
        <v>0</v>
      </c>
    </row>
    <row r="20" spans="1:21" x14ac:dyDescent="0.25">
      <c r="A20" t="s">
        <v>202</v>
      </c>
      <c r="B20" t="str">
        <f t="shared" si="0"/>
        <v>Cooking Order Desk</v>
      </c>
      <c r="C20" t="s">
        <v>203</v>
      </c>
      <c r="D20" t="s">
        <v>204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156</v>
      </c>
      <c r="M20" t="s">
        <v>205</v>
      </c>
      <c r="O20">
        <v>2</v>
      </c>
      <c r="R20" t="b">
        <v>0</v>
      </c>
      <c r="S20" t="s">
        <v>206</v>
      </c>
      <c r="T20" t="s">
        <v>207</v>
      </c>
      <c r="U20" t="b">
        <v>1</v>
      </c>
    </row>
    <row r="21" spans="1:21" x14ac:dyDescent="0.25">
      <c r="A21" t="s">
        <v>208</v>
      </c>
      <c r="B21" t="str">
        <f t="shared" si="0"/>
        <v>Cooking Couldron</v>
      </c>
      <c r="C21" t="s">
        <v>209</v>
      </c>
      <c r="D21" t="s">
        <v>210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156</v>
      </c>
      <c r="M21" t="s">
        <v>211</v>
      </c>
      <c r="O21">
        <v>2</v>
      </c>
      <c r="R21" t="b">
        <v>0</v>
      </c>
      <c r="S21" t="s">
        <v>212</v>
      </c>
      <c r="T21" t="s">
        <v>213</v>
      </c>
      <c r="U21" t="b">
        <v>1</v>
      </c>
    </row>
    <row r="22" spans="1:21" x14ac:dyDescent="0.25">
      <c r="A22" t="s">
        <v>214</v>
      </c>
      <c r="B22" t="str">
        <f t="shared" si="0"/>
        <v>Small Seating Table</v>
      </c>
      <c r="D22" t="s">
        <v>215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156</v>
      </c>
      <c r="M22" t="s">
        <v>205</v>
      </c>
      <c r="O22">
        <v>2</v>
      </c>
      <c r="R22" t="b">
        <v>0</v>
      </c>
      <c r="S22" t="s">
        <v>216</v>
      </c>
      <c r="T22" t="s">
        <v>217</v>
      </c>
      <c r="U22" t="b">
        <v>1</v>
      </c>
    </row>
    <row r="23" spans="1:21" x14ac:dyDescent="0.25">
      <c r="A23" t="s">
        <v>218</v>
      </c>
      <c r="B23" t="str">
        <f t="shared" si="0"/>
        <v>Pass Table</v>
      </c>
      <c r="C23" t="s">
        <v>219</v>
      </c>
      <c r="D23" t="s">
        <v>220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156</v>
      </c>
      <c r="M23" t="s">
        <v>211</v>
      </c>
      <c r="O23">
        <v>2</v>
      </c>
      <c r="R23" t="b">
        <v>0</v>
      </c>
      <c r="S23" t="s">
        <v>221</v>
      </c>
      <c r="T23" t="s">
        <v>222</v>
      </c>
      <c r="U23" t="b">
        <v>1</v>
      </c>
    </row>
    <row r="24" spans="1:21" x14ac:dyDescent="0.25">
      <c r="A24" t="s">
        <v>223</v>
      </c>
      <c r="B24" t="str">
        <f t="shared" si="0"/>
        <v>Crate</v>
      </c>
      <c r="C24" t="s">
        <v>224</v>
      </c>
      <c r="D24" t="s">
        <v>225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156</v>
      </c>
      <c r="O24">
        <v>2</v>
      </c>
      <c r="R24" t="b">
        <v>0</v>
      </c>
      <c r="S24" t="s">
        <v>226</v>
      </c>
      <c r="T24" t="s">
        <v>227</v>
      </c>
      <c r="U24" t="b">
        <v>1</v>
      </c>
    </row>
    <row r="25" spans="1:21" x14ac:dyDescent="0.25">
      <c r="A25" s="7" t="s">
        <v>228</v>
      </c>
      <c r="B25" t="str">
        <f t="shared" si="0"/>
        <v>Barrel</v>
      </c>
      <c r="C25" t="s">
        <v>224</v>
      </c>
      <c r="D25" t="s">
        <v>225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156</v>
      </c>
      <c r="O25">
        <v>2</v>
      </c>
      <c r="R25" t="b">
        <v>0</v>
      </c>
      <c r="S25" t="s">
        <v>229</v>
      </c>
      <c r="T25" t="s">
        <v>230</v>
      </c>
      <c r="U25" t="b">
        <v>1</v>
      </c>
    </row>
    <row r="26" spans="1:21" x14ac:dyDescent="0.25">
      <c r="A26" t="s">
        <v>231</v>
      </c>
      <c r="B26" t="str">
        <f t="shared" si="0"/>
        <v>Wall Torch</v>
      </c>
      <c r="C26" t="s">
        <v>232</v>
      </c>
      <c r="D26" t="s">
        <v>233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234</v>
      </c>
      <c r="O26">
        <v>0</v>
      </c>
      <c r="P26">
        <v>1.4</v>
      </c>
      <c r="R26" t="b">
        <v>0</v>
      </c>
      <c r="S26" t="s">
        <v>235</v>
      </c>
      <c r="T26" t="s">
        <v>236</v>
      </c>
      <c r="U26" t="b">
        <v>1</v>
      </c>
    </row>
    <row r="27" spans="1:21" x14ac:dyDescent="0.25">
      <c r="A27" t="s">
        <v>237</v>
      </c>
      <c r="B27" t="str">
        <f t="shared" si="0"/>
        <v>Condiment Shelf</v>
      </c>
      <c r="C27" t="s">
        <v>238</v>
      </c>
      <c r="D27" t="s">
        <v>239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234</v>
      </c>
      <c r="M27" t="s">
        <v>211</v>
      </c>
      <c r="O27">
        <v>1</v>
      </c>
      <c r="P27" s="1">
        <v>4.4000000000000004</v>
      </c>
      <c r="R27" t="b">
        <v>0</v>
      </c>
      <c r="S27" t="s">
        <v>240</v>
      </c>
      <c r="T27" t="s">
        <v>241</v>
      </c>
      <c r="U27" t="b">
        <v>1</v>
      </c>
    </row>
    <row r="28" spans="1:21" x14ac:dyDescent="0.25">
      <c r="A28" t="s">
        <v>242</v>
      </c>
      <c r="B28" t="str">
        <f t="shared" si="0"/>
        <v>Condiment Shelf Small</v>
      </c>
      <c r="C28" t="s">
        <v>238</v>
      </c>
      <c r="D28" t="s">
        <v>239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234</v>
      </c>
      <c r="M28" t="s">
        <v>211</v>
      </c>
      <c r="O28">
        <v>1</v>
      </c>
      <c r="P28" s="1">
        <v>4.4000000000000004</v>
      </c>
      <c r="R28" t="b">
        <v>0</v>
      </c>
      <c r="S28" t="s">
        <v>240</v>
      </c>
      <c r="T28" t="s">
        <v>243</v>
      </c>
      <c r="U28" t="b">
        <v>1</v>
      </c>
    </row>
    <row r="29" spans="1:21" x14ac:dyDescent="0.25">
      <c r="A29" t="s">
        <v>244</v>
      </c>
      <c r="B29" t="str">
        <f t="shared" si="0"/>
        <v>Hanging Frying Pans</v>
      </c>
      <c r="C29" t="s">
        <v>238</v>
      </c>
      <c r="D29" t="s">
        <v>239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234</v>
      </c>
      <c r="M29" t="s">
        <v>211</v>
      </c>
      <c r="O29">
        <v>0</v>
      </c>
      <c r="R29" t="b">
        <v>0</v>
      </c>
    </row>
    <row r="30" spans="1:21" x14ac:dyDescent="0.25">
      <c r="A30" t="s">
        <v>245</v>
      </c>
      <c r="B30" t="str">
        <f t="shared" si="0"/>
        <v>Butcher Table</v>
      </c>
      <c r="D30" t="s">
        <v>246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156</v>
      </c>
      <c r="M30" t="s">
        <v>211</v>
      </c>
      <c r="O30">
        <v>2</v>
      </c>
      <c r="R30" t="b">
        <v>0</v>
      </c>
    </row>
    <row r="31" spans="1:21" x14ac:dyDescent="0.25">
      <c r="A31" t="s">
        <v>247</v>
      </c>
      <c r="B31" t="str">
        <f t="shared" si="0"/>
        <v>Hanging Meat</v>
      </c>
      <c r="D31" t="s">
        <v>246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248</v>
      </c>
      <c r="B2" s="3" t="s">
        <v>249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50"/>
  <sheetViews>
    <sheetView workbookViewId="0">
      <pane ySplit="1" topLeftCell="A20" activePane="bottomLeft" state="frozen"/>
      <selection pane="bottomLeft" activeCell="C35" sqref="C35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250</v>
      </c>
      <c r="B1" t="s">
        <v>251</v>
      </c>
      <c r="C1" t="s">
        <v>137</v>
      </c>
    </row>
    <row r="2" spans="1:3" x14ac:dyDescent="0.25">
      <c r="A2" s="11" t="s">
        <v>248</v>
      </c>
      <c r="B2" s="11" t="s">
        <v>0</v>
      </c>
      <c r="C2" s="11" t="s">
        <v>252</v>
      </c>
    </row>
    <row r="3" spans="1:3" x14ac:dyDescent="0.25">
      <c r="A3" s="11" t="s">
        <v>248</v>
      </c>
      <c r="B3" s="11" t="s">
        <v>1</v>
      </c>
      <c r="C3" s="11" t="s">
        <v>252</v>
      </c>
    </row>
    <row r="4" spans="1:3" x14ac:dyDescent="0.25">
      <c r="A4" s="11" t="s">
        <v>248</v>
      </c>
      <c r="B4" s="11" t="s">
        <v>2</v>
      </c>
      <c r="C4" s="11" t="s">
        <v>252</v>
      </c>
    </row>
    <row r="5" spans="1:3" x14ac:dyDescent="0.25">
      <c r="A5" s="11" t="s">
        <v>248</v>
      </c>
      <c r="B5" s="11" t="s">
        <v>3</v>
      </c>
      <c r="C5" s="11" t="s">
        <v>252</v>
      </c>
    </row>
    <row r="6" spans="1:3" x14ac:dyDescent="0.25">
      <c r="A6" s="11" t="s">
        <v>248</v>
      </c>
      <c r="B6" s="11" t="s">
        <v>4</v>
      </c>
      <c r="C6" s="11" t="s">
        <v>252</v>
      </c>
    </row>
    <row r="7" spans="1:3" x14ac:dyDescent="0.25">
      <c r="A7" s="11" t="s">
        <v>248</v>
      </c>
      <c r="B7" s="11" t="s">
        <v>5</v>
      </c>
      <c r="C7" s="11" t="s">
        <v>252</v>
      </c>
    </row>
    <row r="8" spans="1:3" x14ac:dyDescent="0.25">
      <c r="A8" s="11" t="s">
        <v>248</v>
      </c>
      <c r="B8" s="11" t="s">
        <v>7</v>
      </c>
      <c r="C8" s="11" t="s">
        <v>252</v>
      </c>
    </row>
    <row r="9" spans="1:3" x14ac:dyDescent="0.25">
      <c r="A9" s="11" t="s">
        <v>248</v>
      </c>
      <c r="B9" s="11" t="s">
        <v>8</v>
      </c>
      <c r="C9" s="11" t="s">
        <v>253</v>
      </c>
    </row>
    <row r="10" spans="1:3" x14ac:dyDescent="0.25">
      <c r="A10" s="11" t="s">
        <v>248</v>
      </c>
      <c r="B10" s="11" t="s">
        <v>9</v>
      </c>
      <c r="C10" s="11" t="s">
        <v>253</v>
      </c>
    </row>
    <row r="11" spans="1:3" x14ac:dyDescent="0.25">
      <c r="A11" s="11" t="s">
        <v>248</v>
      </c>
      <c r="B11" s="11" t="s">
        <v>14</v>
      </c>
      <c r="C11" s="11" t="s">
        <v>253</v>
      </c>
    </row>
    <row r="12" spans="1:3" x14ac:dyDescent="0.25">
      <c r="A12" s="11" t="s">
        <v>248</v>
      </c>
      <c r="B12" s="11" t="s">
        <v>12</v>
      </c>
      <c r="C12" s="11" t="s">
        <v>253</v>
      </c>
    </row>
    <row r="13" spans="1:3" x14ac:dyDescent="0.25">
      <c r="A13" s="11" t="s">
        <v>248</v>
      </c>
      <c r="B13" s="11" t="s">
        <v>13</v>
      </c>
      <c r="C13" s="11" t="s">
        <v>253</v>
      </c>
    </row>
    <row r="14" spans="1:3" x14ac:dyDescent="0.25">
      <c r="A14" s="11" t="s">
        <v>248</v>
      </c>
      <c r="B14" s="11" t="s">
        <v>10</v>
      </c>
      <c r="C14" s="11" t="s">
        <v>253</v>
      </c>
    </row>
    <row r="15" spans="1:3" x14ac:dyDescent="0.25">
      <c r="A15" s="11" t="s">
        <v>248</v>
      </c>
      <c r="B15" s="11" t="s">
        <v>11</v>
      </c>
      <c r="C15" s="11" t="s">
        <v>253</v>
      </c>
    </row>
    <row r="16" spans="1:3" x14ac:dyDescent="0.25">
      <c r="A16" s="11" t="s">
        <v>248</v>
      </c>
      <c r="B16" s="11" t="s">
        <v>15</v>
      </c>
      <c r="C16" s="11" t="s">
        <v>253</v>
      </c>
    </row>
    <row r="17" spans="1:3" x14ac:dyDescent="0.25">
      <c r="A17" s="11" t="s">
        <v>248</v>
      </c>
      <c r="B17" s="11" t="s">
        <v>16</v>
      </c>
      <c r="C17" s="11" t="s">
        <v>254</v>
      </c>
    </row>
    <row r="18" spans="1:3" x14ac:dyDescent="0.25">
      <c r="A18" s="11" t="s">
        <v>248</v>
      </c>
      <c r="B18" s="11" t="s">
        <v>17</v>
      </c>
      <c r="C18" s="11" t="s">
        <v>254</v>
      </c>
    </row>
    <row r="19" spans="1:3" x14ac:dyDescent="0.25">
      <c r="A19" s="11" t="s">
        <v>248</v>
      </c>
      <c r="B19" s="11" t="s">
        <v>18</v>
      </c>
      <c r="C19" s="11" t="s">
        <v>254</v>
      </c>
    </row>
    <row r="20" spans="1:3" x14ac:dyDescent="0.25">
      <c r="A20" s="11" t="s">
        <v>248</v>
      </c>
      <c r="B20" s="11" t="s">
        <v>19</v>
      </c>
      <c r="C20" s="11" t="s">
        <v>254</v>
      </c>
    </row>
    <row r="21" spans="1:3" x14ac:dyDescent="0.25">
      <c r="A21" s="11" t="s">
        <v>248</v>
      </c>
      <c r="B21" s="11" t="s">
        <v>20</v>
      </c>
      <c r="C21" s="11" t="s">
        <v>252</v>
      </c>
    </row>
    <row r="22" spans="1:3" x14ac:dyDescent="0.25">
      <c r="A22" s="11" t="s">
        <v>248</v>
      </c>
      <c r="B22" s="11" t="s">
        <v>21</v>
      </c>
      <c r="C22" s="11" t="s">
        <v>255</v>
      </c>
    </row>
    <row r="23" spans="1:3" x14ac:dyDescent="0.25">
      <c r="A23" s="12" t="s">
        <v>256</v>
      </c>
      <c r="B23" s="12" t="s">
        <v>0</v>
      </c>
      <c r="C23" s="12" t="s">
        <v>252</v>
      </c>
    </row>
    <row r="24" spans="1:3" x14ac:dyDescent="0.25">
      <c r="A24" s="12" t="s">
        <v>256</v>
      </c>
      <c r="B24" s="12" t="s">
        <v>1</v>
      </c>
      <c r="C24" s="12" t="s">
        <v>252</v>
      </c>
    </row>
    <row r="25" spans="1:3" x14ac:dyDescent="0.25">
      <c r="A25" s="12" t="s">
        <v>256</v>
      </c>
      <c r="B25" s="12" t="s">
        <v>42</v>
      </c>
      <c r="C25" s="12" t="s">
        <v>252</v>
      </c>
    </row>
    <row r="26" spans="1:3" x14ac:dyDescent="0.25">
      <c r="A26" s="12" t="s">
        <v>256</v>
      </c>
      <c r="B26" s="12" t="s">
        <v>43</v>
      </c>
      <c r="C26" s="12" t="s">
        <v>252</v>
      </c>
    </row>
    <row r="27" spans="1:3" x14ac:dyDescent="0.25">
      <c r="A27" s="12" t="s">
        <v>256</v>
      </c>
      <c r="B27" s="12" t="s">
        <v>44</v>
      </c>
      <c r="C27" s="12" t="s">
        <v>252</v>
      </c>
    </row>
    <row r="28" spans="1:3" x14ac:dyDescent="0.25">
      <c r="A28" s="12" t="s">
        <v>256</v>
      </c>
      <c r="B28" s="12" t="s">
        <v>45</v>
      </c>
      <c r="C28" s="12" t="s">
        <v>253</v>
      </c>
    </row>
    <row r="29" spans="1:3" x14ac:dyDescent="0.25">
      <c r="A29" s="12" t="s">
        <v>256</v>
      </c>
      <c r="B29" s="12" t="s">
        <v>46</v>
      </c>
      <c r="C29" s="12" t="s">
        <v>253</v>
      </c>
    </row>
    <row r="30" spans="1:3" x14ac:dyDescent="0.25">
      <c r="A30" s="12" t="s">
        <v>256</v>
      </c>
      <c r="B30" s="12" t="s">
        <v>47</v>
      </c>
      <c r="C30" s="12" t="s">
        <v>253</v>
      </c>
    </row>
    <row r="31" spans="1:3" x14ac:dyDescent="0.25">
      <c r="A31" s="12" t="s">
        <v>256</v>
      </c>
      <c r="B31" s="12" t="s">
        <v>20</v>
      </c>
      <c r="C31" s="12" t="s">
        <v>252</v>
      </c>
    </row>
    <row r="32" spans="1:3" x14ac:dyDescent="0.25">
      <c r="A32" s="16" t="s">
        <v>44</v>
      </c>
      <c r="B32" s="16" t="s">
        <v>0</v>
      </c>
      <c r="C32" s="16" t="s">
        <v>252</v>
      </c>
    </row>
    <row r="33" spans="1:3" x14ac:dyDescent="0.25">
      <c r="A33" s="16" t="s">
        <v>44</v>
      </c>
      <c r="B33" s="16" t="s">
        <v>1</v>
      </c>
      <c r="C33" s="16" t="s">
        <v>252</v>
      </c>
    </row>
    <row r="34" spans="1:3" x14ac:dyDescent="0.25">
      <c r="A34" s="16" t="s">
        <v>44</v>
      </c>
      <c r="B34" s="16" t="s">
        <v>42</v>
      </c>
      <c r="C34" s="16" t="s">
        <v>252</v>
      </c>
    </row>
    <row r="35" spans="1:3" x14ac:dyDescent="0.25">
      <c r="A35" s="15" t="s">
        <v>257</v>
      </c>
      <c r="B35" s="15" t="s">
        <v>0</v>
      </c>
      <c r="C35" s="15" t="s">
        <v>252</v>
      </c>
    </row>
    <row r="36" spans="1:3" x14ac:dyDescent="0.25">
      <c r="A36" s="15" t="s">
        <v>257</v>
      </c>
      <c r="B36" s="15" t="s">
        <v>1</v>
      </c>
      <c r="C36" s="15" t="s">
        <v>252</v>
      </c>
    </row>
    <row r="37" spans="1:3" x14ac:dyDescent="0.25">
      <c r="A37" s="15" t="s">
        <v>257</v>
      </c>
      <c r="B37" s="15" t="s">
        <v>71</v>
      </c>
      <c r="C37" s="15" t="s">
        <v>252</v>
      </c>
    </row>
    <row r="38" spans="1:3" x14ac:dyDescent="0.25">
      <c r="A38" s="15" t="s">
        <v>257</v>
      </c>
      <c r="B38" s="15" t="s">
        <v>42</v>
      </c>
      <c r="C38" s="15" t="s">
        <v>252</v>
      </c>
    </row>
    <row r="39" spans="1:3" x14ac:dyDescent="0.25">
      <c r="A39" s="15" t="s">
        <v>257</v>
      </c>
      <c r="B39" s="15" t="s">
        <v>3</v>
      </c>
      <c r="C39" s="15" t="s">
        <v>252</v>
      </c>
    </row>
    <row r="40" spans="1:3" x14ac:dyDescent="0.25">
      <c r="A40" s="15" t="s">
        <v>257</v>
      </c>
      <c r="B40" s="15" t="s">
        <v>4</v>
      </c>
      <c r="C40" s="15" t="s">
        <v>252</v>
      </c>
    </row>
    <row r="41" spans="1:3" ht="15.75" customHeight="1" x14ac:dyDescent="0.25">
      <c r="A41" s="15" t="s">
        <v>257</v>
      </c>
      <c r="B41" s="15" t="s">
        <v>5</v>
      </c>
      <c r="C41" s="15" t="s">
        <v>252</v>
      </c>
    </row>
    <row r="42" spans="1:3" ht="15.75" customHeight="1" x14ac:dyDescent="0.25">
      <c r="A42" s="15" t="s">
        <v>257</v>
      </c>
      <c r="B42" s="15" t="s">
        <v>21</v>
      </c>
      <c r="C42" s="15" t="s">
        <v>255</v>
      </c>
    </row>
    <row r="43" spans="1:3" x14ac:dyDescent="0.25">
      <c r="A43" s="14" t="s">
        <v>338</v>
      </c>
      <c r="B43" s="14" t="s">
        <v>0</v>
      </c>
      <c r="C43" s="14" t="s">
        <v>252</v>
      </c>
    </row>
    <row r="44" spans="1:3" x14ac:dyDescent="0.25">
      <c r="A44" s="14" t="s">
        <v>338</v>
      </c>
      <c r="B44" s="14" t="s">
        <v>1</v>
      </c>
      <c r="C44" s="14" t="s">
        <v>252</v>
      </c>
    </row>
    <row r="45" spans="1:3" x14ac:dyDescent="0.25">
      <c r="A45" s="14" t="s">
        <v>338</v>
      </c>
      <c r="B45" s="14" t="s">
        <v>42</v>
      </c>
      <c r="C45" s="14" t="s">
        <v>252</v>
      </c>
    </row>
    <row r="46" spans="1:3" x14ac:dyDescent="0.25">
      <c r="A46" s="14" t="s">
        <v>338</v>
      </c>
      <c r="B46" s="14" t="s">
        <v>334</v>
      </c>
      <c r="C46" s="14" t="s">
        <v>252</v>
      </c>
    </row>
    <row r="47" spans="1:3" x14ac:dyDescent="0.25">
      <c r="A47" s="14" t="s">
        <v>338</v>
      </c>
      <c r="B47" s="14" t="s">
        <v>21</v>
      </c>
      <c r="C47" s="14" t="s">
        <v>255</v>
      </c>
    </row>
    <row r="48" spans="1:3" x14ac:dyDescent="0.25">
      <c r="A48" s="17" t="s">
        <v>7</v>
      </c>
      <c r="B48" s="17" t="s">
        <v>0</v>
      </c>
      <c r="C48" s="17" t="s">
        <v>252</v>
      </c>
    </row>
    <row r="49" spans="1:3" x14ac:dyDescent="0.25">
      <c r="A49" s="17" t="s">
        <v>7</v>
      </c>
      <c r="B49" s="17" t="s">
        <v>1</v>
      </c>
      <c r="C49" s="17" t="s">
        <v>252</v>
      </c>
    </row>
    <row r="50" spans="1:3" x14ac:dyDescent="0.25">
      <c r="A50" s="17" t="s">
        <v>7</v>
      </c>
      <c r="B50" s="17" t="s">
        <v>42</v>
      </c>
      <c r="C50" s="17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orbs</vt:lpstr>
      <vt:lpstr>glyphs</vt:lpstr>
      <vt:lpstr>attribute</vt:lpstr>
      <vt:lpstr>attunements</vt:lpstr>
      <vt:lpstr>rites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2026-09-25T10:07:33Z</dcterms:modified>
</cp:coreProperties>
</file>