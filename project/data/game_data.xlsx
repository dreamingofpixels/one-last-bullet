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ogramming Projects\Game Dev\Too Many Orbs\project\data\"/>
    </mc:Choice>
  </mc:AlternateContent>
  <xr:revisionPtr revIDLastSave="0" documentId="13_ncr:1_{C07668BC-19AB-4ACB-996A-B44E29556B0C}" xr6:coauthVersionLast="47" xr6:coauthVersionMax="47" xr10:uidLastSave="{00000000-0000-0000-0000-000000000000}"/>
  <bookViews>
    <workbookView xWindow="-28920" yWindow="-120" windowWidth="29040" windowHeight="15720" tabRatio="696" activeTab="4" xr2:uid="{00000000-000D-0000-FFFF-FFFF00000000}"/>
  </bookViews>
  <sheets>
    <sheet name="orbs" sheetId="1" r:id="rId1"/>
    <sheet name="glyphs" sheetId="2" r:id="rId2"/>
    <sheet name="attribute" sheetId="8" r:id="rId3"/>
    <sheet name="attunements" sheetId="3" r:id="rId4"/>
    <sheet name="rites" sheetId="9" r:id="rId5"/>
    <sheet name="motion" sheetId="4" r:id="rId6"/>
    <sheet name="objects_OLD" sheetId="5" state="hidden" r:id="rId7"/>
    <sheet name="input" sheetId="6" r:id="rId8"/>
    <sheet name="schema" sheetId="7" r:id="rId9"/>
  </sheets>
  <definedNames>
    <definedName name="_xlnm._FilterDatabase" localSheetId="6" hidden="1">objects_OLD!$A$1:$U$53</definedName>
    <definedName name="_xlnm._FilterDatabase" localSheetId="0" hidden="1">orbs!$A$1:$W$44</definedName>
    <definedName name="_xlnm._FilterDatabase" localSheetId="4" hidden="1">rites!$A$1:$G$18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3" i="9" l="1"/>
  <c r="E53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2" i="9"/>
  <c r="B18" i="9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2" i="9"/>
  <c r="V14" i="1"/>
  <c r="V15" i="1"/>
  <c r="V16" i="1"/>
  <c r="V17" i="1"/>
  <c r="V18" i="1"/>
  <c r="B27" i="3"/>
  <c r="B26" i="3"/>
  <c r="B18" i="3"/>
  <c r="B3" i="8"/>
  <c r="B4" i="8"/>
  <c r="B5" i="8"/>
  <c r="B6" i="8"/>
  <c r="B7" i="8"/>
  <c r="B8" i="8"/>
  <c r="B9" i="8"/>
  <c r="B10" i="8"/>
  <c r="B11" i="8"/>
  <c r="B12" i="8"/>
  <c r="B13" i="8"/>
  <c r="B2" i="8"/>
  <c r="B2" i="1"/>
  <c r="B3" i="1"/>
  <c r="B4" i="1"/>
  <c r="B5" i="1"/>
  <c r="B6" i="1"/>
  <c r="B7" i="1"/>
  <c r="B8" i="1"/>
  <c r="B9" i="1"/>
  <c r="B10" i="1"/>
  <c r="B11" i="1"/>
  <c r="B12" i="1"/>
  <c r="B24" i="3"/>
  <c r="B25" i="3"/>
  <c r="B23" i="3"/>
  <c r="B22" i="3"/>
  <c r="V13" i="1"/>
  <c r="V12" i="1"/>
  <c r="V7" i="1"/>
  <c r="V8" i="1"/>
  <c r="V9" i="1"/>
  <c r="V10" i="1"/>
  <c r="V11" i="1"/>
  <c r="V6" i="1"/>
  <c r="V3" i="1"/>
  <c r="V4" i="1"/>
  <c r="V5" i="1"/>
  <c r="V2" i="1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B2" i="5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B2" i="4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B21" i="3"/>
  <c r="H20" i="3"/>
  <c r="B20" i="3"/>
  <c r="H19" i="3"/>
  <c r="B19" i="3"/>
  <c r="H17" i="3"/>
  <c r="B17" i="3"/>
  <c r="H16" i="3"/>
  <c r="B16" i="3"/>
  <c r="H15" i="3"/>
  <c r="B15" i="3"/>
  <c r="H14" i="3"/>
  <c r="B14" i="3"/>
  <c r="H13" i="3"/>
  <c r="B13" i="3"/>
  <c r="H12" i="3"/>
  <c r="B12" i="3"/>
  <c r="H11" i="3"/>
  <c r="B11" i="3"/>
  <c r="H10" i="3"/>
  <c r="B10" i="3"/>
  <c r="H9" i="3"/>
  <c r="B9" i="3"/>
  <c r="H8" i="3"/>
  <c r="B8" i="3"/>
  <c r="H7" i="3"/>
  <c r="B7" i="3"/>
  <c r="H6" i="3"/>
  <c r="B6" i="3"/>
  <c r="H5" i="3"/>
  <c r="B5" i="3"/>
  <c r="H4" i="3"/>
  <c r="B4" i="3"/>
  <c r="H3" i="3"/>
  <c r="B3" i="3"/>
  <c r="H2" i="3"/>
  <c r="B2" i="3"/>
  <c r="I13" i="2"/>
  <c r="B13" i="2"/>
  <c r="I12" i="2"/>
  <c r="B12" i="2"/>
  <c r="I11" i="2"/>
  <c r="B11" i="2"/>
  <c r="I10" i="2"/>
  <c r="B10" i="2"/>
  <c r="I9" i="2"/>
  <c r="B9" i="2"/>
  <c r="I8" i="2"/>
  <c r="B8" i="2"/>
  <c r="I7" i="2"/>
  <c r="B7" i="2"/>
  <c r="I6" i="2"/>
  <c r="B6" i="2"/>
  <c r="I5" i="2"/>
  <c r="B5" i="2"/>
  <c r="I4" i="2"/>
  <c r="B4" i="2"/>
  <c r="I3" i="2"/>
  <c r="B3" i="2"/>
  <c r="I2" i="2"/>
  <c r="B2" i="2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90" i="1"/>
  <c r="G90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80" i="1"/>
  <c r="G80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70" i="1"/>
  <c r="G70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60" i="1"/>
  <c r="G60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B44" i="1"/>
  <c r="H43" i="1"/>
  <c r="G43" i="1"/>
  <c r="B43" i="1"/>
  <c r="H42" i="1"/>
  <c r="G42" i="1"/>
  <c r="B42" i="1"/>
  <c r="H41" i="1"/>
  <c r="G41" i="1"/>
  <c r="B41" i="1"/>
  <c r="H40" i="1"/>
  <c r="G40" i="1"/>
  <c r="B40" i="1"/>
  <c r="H39" i="1"/>
  <c r="G39" i="1"/>
  <c r="B39" i="1"/>
  <c r="H38" i="1"/>
  <c r="G38" i="1"/>
  <c r="B38" i="1"/>
  <c r="H37" i="1"/>
  <c r="G37" i="1"/>
  <c r="B37" i="1"/>
  <c r="H36" i="1"/>
  <c r="G36" i="1"/>
  <c r="B36" i="1"/>
  <c r="H35" i="1"/>
  <c r="G35" i="1"/>
  <c r="B35" i="1"/>
  <c r="H34" i="1"/>
  <c r="G34" i="1"/>
  <c r="B34" i="1"/>
  <c r="H33" i="1"/>
  <c r="G33" i="1"/>
  <c r="B33" i="1"/>
  <c r="H32" i="1"/>
  <c r="G32" i="1"/>
  <c r="B32" i="1"/>
  <c r="H31" i="1"/>
  <c r="G31" i="1"/>
  <c r="B31" i="1"/>
  <c r="H30" i="1"/>
  <c r="G30" i="1"/>
  <c r="B30" i="1"/>
  <c r="H29" i="1"/>
  <c r="G29" i="1"/>
  <c r="B29" i="1"/>
  <c r="H28" i="1"/>
  <c r="G28" i="1"/>
  <c r="B28" i="1"/>
  <c r="H27" i="1"/>
  <c r="G27" i="1"/>
  <c r="B27" i="1"/>
  <c r="H26" i="1"/>
  <c r="G26" i="1"/>
  <c r="B26" i="1"/>
  <c r="H25" i="1"/>
  <c r="G25" i="1"/>
  <c r="B25" i="1"/>
  <c r="H24" i="1"/>
  <c r="G24" i="1"/>
  <c r="B24" i="1"/>
  <c r="H23" i="1"/>
  <c r="G23" i="1"/>
  <c r="B23" i="1"/>
  <c r="H22" i="1"/>
  <c r="G22" i="1"/>
  <c r="B22" i="1"/>
  <c r="H21" i="1"/>
  <c r="G21" i="1"/>
  <c r="B21" i="1"/>
  <c r="H20" i="1"/>
  <c r="G20" i="1"/>
  <c r="B20" i="1"/>
  <c r="G19" i="1"/>
  <c r="H19" i="1" s="1"/>
  <c r="B19" i="1"/>
  <c r="G18" i="1"/>
  <c r="B18" i="1"/>
  <c r="G17" i="1"/>
  <c r="B17" i="1"/>
  <c r="G16" i="1"/>
  <c r="B16" i="1"/>
  <c r="G15" i="1"/>
  <c r="B15" i="1"/>
  <c r="G14" i="1"/>
  <c r="B14" i="1"/>
  <c r="G13" i="1"/>
  <c r="B13" i="1"/>
  <c r="G12" i="1"/>
  <c r="G11" i="1"/>
  <c r="G10" i="1"/>
  <c r="G9" i="1"/>
  <c r="G8" i="1"/>
  <c r="G7" i="1"/>
  <c r="G6" i="1"/>
  <c r="G5" i="1"/>
  <c r="G4" i="1"/>
  <c r="G3" i="1"/>
  <c r="H2" i="1"/>
  <c r="H18" i="1" l="1"/>
  <c r="H15" i="1"/>
  <c r="H14" i="1"/>
  <c r="H17" i="1"/>
  <c r="H16" i="1"/>
  <c r="H13" i="1"/>
  <c r="H12" i="1"/>
  <c r="H6" i="1"/>
  <c r="H5" i="1"/>
  <c r="H7" i="1"/>
  <c r="H9" i="1"/>
  <c r="H4" i="1"/>
  <c r="H11" i="1"/>
  <c r="H10" i="1"/>
  <c r="H3" i="1"/>
  <c r="H8" i="1"/>
</calcChain>
</file>

<file path=xl/sharedStrings.xml><?xml version="1.0" encoding="utf-8"?>
<sst xmlns="http://schemas.openxmlformats.org/spreadsheetml/2006/main" count="880" uniqueCount="441">
  <si>
    <t>id</t>
  </si>
  <si>
    <t>name</t>
  </si>
  <si>
    <t>effect</t>
  </si>
  <si>
    <t>element_1</t>
  </si>
  <si>
    <t>element_2</t>
  </si>
  <si>
    <t>element_3</t>
  </si>
  <si>
    <t>unique?</t>
  </si>
  <si>
    <t>motion</t>
  </si>
  <si>
    <t>damage</t>
  </si>
  <si>
    <t>self_damage</t>
  </si>
  <si>
    <t>crit_chance</t>
  </si>
  <si>
    <t>crit_damage</t>
  </si>
  <si>
    <t>speed</t>
  </si>
  <si>
    <t>weight</t>
  </si>
  <si>
    <t>splash</t>
  </si>
  <si>
    <t>glyph_drop</t>
  </si>
  <si>
    <t>burn</t>
  </si>
  <si>
    <t>chill</t>
  </si>
  <si>
    <t>shock</t>
  </si>
  <si>
    <t>poison</t>
  </si>
  <si>
    <t>scene_path</t>
  </si>
  <si>
    <t>active</t>
  </si>
  <si>
    <t>blank</t>
  </si>
  <si>
    <t>No effect</t>
  </si>
  <si>
    <t>wayward</t>
  </si>
  <si>
    <t>conduit</t>
  </si>
  <si>
    <t>When you are within 120 meters of the orb, create a tether between you dealing 3 DPS to enemies touching it</t>
  </si>
  <si>
    <t>Air</t>
  </si>
  <si>
    <t>Fire</t>
  </si>
  <si>
    <t>contagion</t>
  </si>
  <si>
    <t>Earth</t>
  </si>
  <si>
    <t>ghost</t>
  </si>
  <si>
    <t>inferno</t>
  </si>
  <si>
    <t>shard</t>
  </si>
  <si>
    <t>Water</t>
  </si>
  <si>
    <t>runic</t>
  </si>
  <si>
    <t>guardian</t>
  </si>
  <si>
    <t>Creates a shield around the orb. Any players within it take 50% less damage.</t>
  </si>
  <si>
    <t>mend</t>
  </si>
  <si>
    <t>Does no self-damage. Players hit heal 10 hp instead</t>
  </si>
  <si>
    <t>destroyer</t>
  </si>
  <si>
    <t>spite</t>
  </si>
  <si>
    <t>desc</t>
  </si>
  <si>
    <t>element</t>
  </si>
  <si>
    <t>attribute</t>
  </si>
  <si>
    <t>rarity_common</t>
  </si>
  <si>
    <t>rarity_rare</t>
  </si>
  <si>
    <t>rarity_unique</t>
  </si>
  <si>
    <t>coal</t>
  </si>
  <si>
    <t>fury</t>
  </si>
  <si>
    <t>blast</t>
  </si>
  <si>
    <t>rime</t>
  </si>
  <si>
    <t>sooth</t>
  </si>
  <si>
    <t>bounty</t>
  </si>
  <si>
    <t>static</t>
  </si>
  <si>
    <t>shear</t>
  </si>
  <si>
    <t>drag</t>
  </si>
  <si>
    <t>blight</t>
  </si>
  <si>
    <t>dense</t>
  </si>
  <si>
    <t>crush</t>
  </si>
  <si>
    <t>orb_id</t>
  </si>
  <si>
    <t>haunt</t>
  </si>
  <si>
    <t>Changes Motion to Attracted</t>
  </si>
  <si>
    <t>possesion</t>
  </si>
  <si>
    <t>Makes haunted enemy attack other enemies</t>
  </si>
  <si>
    <t>trail</t>
  </si>
  <si>
    <t>Fire trail lasts 4 seconds</t>
  </si>
  <si>
    <t>kindling</t>
  </si>
  <si>
    <t>Dashing through a fire trail extends it</t>
  </si>
  <si>
    <t>spark</t>
  </si>
  <si>
    <t>When colliding with another orb, a fire trail is made</t>
  </si>
  <si>
    <t>chain</t>
  </si>
  <si>
    <t>Beam now chains to enemies between you and the orb</t>
  </si>
  <si>
    <t>conductor</t>
  </si>
  <si>
    <t>More beams connect to other orbs and players</t>
  </si>
  <si>
    <t>reach</t>
  </si>
  <si>
    <t>Range of the tether greatly increases</t>
  </si>
  <si>
    <t>splinter</t>
  </si>
  <si>
    <t>When a shard breaks, two smaller shards shoot out dealing 10 damage and inflicting 1 Chill</t>
  </si>
  <si>
    <t>lethal</t>
  </si>
  <si>
    <t>Shoots twice as many shards</t>
  </si>
  <si>
    <t>shatter</t>
  </si>
  <si>
    <t>carrion</t>
  </si>
  <si>
    <t>outbreak</t>
  </si>
  <si>
    <t>virulence</t>
  </si>
  <si>
    <t>Any picked up glyph goes up in rarity</t>
  </si>
  <si>
    <t>hoarder</t>
  </si>
  <si>
    <t>affinity</t>
  </si>
  <si>
    <t>retribution</t>
  </si>
  <si>
    <t>Shield reflects enemy projectiles back at them</t>
  </si>
  <si>
    <t>flexible</t>
  </si>
  <si>
    <t>While in the shield, players can dash with no cooldown</t>
  </si>
  <si>
    <t>shield</t>
  </si>
  <si>
    <t>Greatly extends the shields area</t>
  </si>
  <si>
    <t>Straight flight, bounce off solids</t>
  </si>
  <si>
    <t>attracted</t>
  </si>
  <si>
    <t>Steer toward nearest enemy</t>
  </si>
  <si>
    <t>Steer toward the player</t>
  </si>
  <si>
    <t>rooted</t>
  </si>
  <si>
    <t>Stops in place</t>
  </si>
  <si>
    <t>patrol</t>
  </si>
  <si>
    <t>Travels in a circle</t>
  </si>
  <si>
    <t>familiar</t>
  </si>
  <si>
    <t>Orbit the player</t>
  </si>
  <si>
    <t>rail</t>
  </si>
  <si>
    <t>Slides along walls. Goes opposite way on impact.</t>
  </si>
  <si>
    <t>tide</t>
  </si>
  <si>
    <t>Ping-pong between last redirect and last bounce</t>
  </si>
  <si>
    <t>blink</t>
  </si>
  <si>
    <t>Teleport a short hop on a timer or on wall hit</t>
  </si>
  <si>
    <t>loyal</t>
  </si>
  <si>
    <t>Match the player’s move vector, offset</t>
  </si>
  <si>
    <t>hexed</t>
  </si>
  <si>
    <t>Flee the player</t>
  </si>
  <si>
    <t>stalker</t>
  </si>
  <si>
    <t>Idle until an enemy or player enters range, then lunge</t>
  </si>
  <si>
    <t>herd</t>
  </si>
  <si>
    <t>Steer towards other orbs</t>
  </si>
  <si>
    <t>greedy</t>
  </si>
  <si>
    <t>Steers towards glyphs</t>
  </si>
  <si>
    <t>oathbound</t>
  </si>
  <si>
    <t>Orbits the summoning circle</t>
  </si>
  <si>
    <t>echo</t>
  </si>
  <si>
    <t>Replay a nearby players path on a 1 s delay</t>
  </si>
  <si>
    <t>phasing</t>
  </si>
  <si>
    <t>Go through entities and obstacles</t>
  </si>
  <si>
    <t>type</t>
  </si>
  <si>
    <t>fun</t>
  </si>
  <si>
    <t>nourishment</t>
  </si>
  <si>
    <t>comfort</t>
  </si>
  <si>
    <t>security</t>
  </si>
  <si>
    <t>hygiene</t>
  </si>
  <si>
    <t>decor</t>
  </si>
  <si>
    <t>placement_kind</t>
  </si>
  <si>
    <t>room_tag_req_1</t>
  </si>
  <si>
    <t>room_tag_req_2</t>
  </si>
  <si>
    <t>placeable_points</t>
  </si>
  <si>
    <t>placement_tiles</t>
  </si>
  <si>
    <t>nav_footprint_tiles</t>
  </si>
  <si>
    <t>unlock_gated</t>
  </si>
  <si>
    <t>class_path</t>
  </si>
  <si>
    <t>sprite_path</t>
  </si>
  <si>
    <t>reception_desk</t>
  </si>
  <si>
    <t>Guests check in here</t>
  </si>
  <si>
    <t>ReceptionDesk</t>
  </si>
  <si>
    <t>floor</t>
  </si>
  <si>
    <t>res://objects/furniture/desk/reception_desk.png</t>
  </si>
  <si>
    <t>straw_pallet</t>
  </si>
  <si>
    <t>Simplest sleeping arrangement</t>
  </si>
  <si>
    <t>Bed</t>
  </si>
  <si>
    <t>sleeping</t>
  </si>
  <si>
    <t>wood_frame_bed</t>
  </si>
  <si>
    <t>Average comfort</t>
  </si>
  <si>
    <t>res://objects/furniture/bed/single_bed.tscn</t>
  </si>
  <si>
    <t>res://objects/furniture/bed/wood_frame_bed.png</t>
  </si>
  <si>
    <t>bunk_bed</t>
  </si>
  <si>
    <t>Twice the room space</t>
  </si>
  <si>
    <t>res://objects/furniture/bed/multi_bed.tscn</t>
  </si>
  <si>
    <t>res://objects/furniture/bed/bunk_bed.png</t>
  </si>
  <si>
    <t>canopy_bed</t>
  </si>
  <si>
    <t>Luxerious</t>
  </si>
  <si>
    <t>budget_wardrobe</t>
  </si>
  <si>
    <t>Low Decor</t>
  </si>
  <si>
    <t>Wardrobe</t>
  </si>
  <si>
    <t>res://objects/furniture/wardrobe/wardrobe.tscn</t>
  </si>
  <si>
    <t>res://objects/furniture/wardrobe/budget_wardrobe.png</t>
  </si>
  <si>
    <t>fine_wardrobe</t>
  </si>
  <si>
    <t>Average decor</t>
  </si>
  <si>
    <t>res://objects/furniture/wardrobe/fine_wardrobe.png</t>
  </si>
  <si>
    <t>ornate_wardrobe</t>
  </si>
  <si>
    <t>Increases all decor in the room by 10%</t>
  </si>
  <si>
    <t>res://objects/furniture/wardrobe/luxury_wardrobe.png</t>
  </si>
  <si>
    <t>night_stand</t>
  </si>
  <si>
    <t>wash_basin</t>
  </si>
  <si>
    <t>Hygiene goes down 10% slower while sleeping</t>
  </si>
  <si>
    <t>artisan_rug</t>
  </si>
  <si>
    <t>Raises comfort of objects to a minimum of 3 in this room</t>
  </si>
  <si>
    <t>mirror</t>
  </si>
  <si>
    <t>Guests with trait Vain gain +2 happiness</t>
  </si>
  <si>
    <t>trunk</t>
  </si>
  <si>
    <t>Where guests can store their keepsakes</t>
  </si>
  <si>
    <t>bookshelf</t>
  </si>
  <si>
    <t>privacy_screen</t>
  </si>
  <si>
    <t>small_houseplant</t>
  </si>
  <si>
    <t>Plant</t>
  </si>
  <si>
    <t>res://objects/decor/plants/plant.tscn</t>
  </si>
  <si>
    <t>res://objects/decor/plants/small_houseplant.png</t>
  </si>
  <si>
    <t>big_houseplant</t>
  </si>
  <si>
    <t>+1 decor for every plant in the room</t>
  </si>
  <si>
    <t>chamber_pot</t>
  </si>
  <si>
    <t>For relieving oneself</t>
  </si>
  <si>
    <t>cooking_order_desk</t>
  </si>
  <si>
    <t>Guests can order food here</t>
  </si>
  <si>
    <t>CookingOrderDesk</t>
  </si>
  <si>
    <t>serving</t>
  </si>
  <si>
    <t>res://objects/furniture/desk/cooking_order_desk.tscn</t>
  </si>
  <si>
    <t>res://objects/appliances/cooking_order_desk.png</t>
  </si>
  <si>
    <t>cooking_couldron</t>
  </si>
  <si>
    <t>Player can cook food here</t>
  </si>
  <si>
    <t>CookingCouldron</t>
  </si>
  <si>
    <t>cooking</t>
  </si>
  <si>
    <t>res://objects/appliances/cooking_couldron.tscn</t>
  </si>
  <si>
    <t>res://objects/appliances/cooking_couldron_static.png</t>
  </si>
  <si>
    <t>small_seating_table</t>
  </si>
  <si>
    <t>SeatingTable</t>
  </si>
  <si>
    <t>res://objects/furniture/table/small_seating_table.tscn</t>
  </si>
  <si>
    <t>res://objects/furniture/table/small_seating_table.png</t>
  </si>
  <si>
    <t>pass_table</t>
  </si>
  <si>
    <t>Cooked food can be placed here</t>
  </si>
  <si>
    <t>PassTable</t>
  </si>
  <si>
    <t>res://objects/furniture/table/pass_table.tscn</t>
  </si>
  <si>
    <t>res://objects/furniture/table/pass_table.png</t>
  </si>
  <si>
    <t>crate</t>
  </si>
  <si>
    <t>Used for storage</t>
  </si>
  <si>
    <t>Storage</t>
  </si>
  <si>
    <t>res://objects/storage/crate.tscn</t>
  </si>
  <si>
    <t>res://objects/storage/crate.png</t>
  </si>
  <si>
    <t>barrel</t>
  </si>
  <si>
    <t>res://objects/storage/barrel.tscn</t>
  </si>
  <si>
    <t>res://objects/storage/barrel.png</t>
  </si>
  <si>
    <t>wall_torch</t>
  </si>
  <si>
    <t>Basic light source</t>
  </si>
  <si>
    <t>WallLightSource</t>
  </si>
  <si>
    <t>wall</t>
  </si>
  <si>
    <t>res://objects/decor/wall_decor/wall_light_source.tscn</t>
  </si>
  <si>
    <t>res://objects/lights/wall_torch_static.png</t>
  </si>
  <si>
    <t>condiment_shelf</t>
  </si>
  <si>
    <t>Wall decor</t>
  </si>
  <si>
    <t>WallDecor</t>
  </si>
  <si>
    <t>res://objects/decor/wall_decor/wall_decor.tscn</t>
  </si>
  <si>
    <t>res://objects/decor/wall_decor/condiment_shelf/condiment_shelf.png</t>
  </si>
  <si>
    <t>condiment_shelf_small</t>
  </si>
  <si>
    <t>res://objects/decor/wall_decor/condiment_shelf/condiment_shelf_small.png</t>
  </si>
  <si>
    <t>hanging_frying_pans</t>
  </si>
  <si>
    <t>butcher_table</t>
  </si>
  <si>
    <t>FloorDecor</t>
  </si>
  <si>
    <t>hanging_meat</t>
  </si>
  <si>
    <t>orbs</t>
  </si>
  <si>
    <t>elements</t>
  </si>
  <si>
    <t>sheet</t>
  </si>
  <si>
    <t>column</t>
  </si>
  <si>
    <t>string</t>
  </si>
  <si>
    <t>float</t>
  </si>
  <si>
    <t>int</t>
  </si>
  <si>
    <t>boolean</t>
  </si>
  <si>
    <t>glyphs</t>
  </si>
  <si>
    <t>attunements</t>
  </si>
  <si>
    <t>vulcano</t>
  </si>
  <si>
    <t>lure</t>
  </si>
  <si>
    <t>On redirect, enemies follow and attack the orb instead of you for 3 seconds</t>
  </si>
  <si>
    <t>Increases player speed by 20% and own damage by 40% if player is more then 400 range away</t>
  </si>
  <si>
    <t>hunger</t>
  </si>
  <si>
    <t>vengance</t>
  </si>
  <si>
    <t>After the player takes damage, seeks out the enemy attacker for massive damage</t>
  </si>
  <si>
    <t>hunter</t>
  </si>
  <si>
    <t>Randomly marks an enemy. This orb does +20% critical damage against that enemy</t>
  </si>
  <si>
    <t>After a crit, increase crit chance by 1% permanently</t>
  </si>
  <si>
    <t>Seeks out the marked enemy</t>
  </si>
  <si>
    <t>stalk</t>
  </si>
  <si>
    <t>fright</t>
  </si>
  <si>
    <t>experience</t>
  </si>
  <si>
    <t>How fast the orb travels</t>
  </si>
  <si>
    <t>Portion of hit damage also dealt to nearby enemies</t>
  </si>
  <si>
    <t>Chance for a hit to critically strike</t>
  </si>
  <si>
    <t>Extra damage multiplier on critical hits</t>
  </si>
  <si>
    <t>Chance enemies and objects drop a glyph</t>
  </si>
  <si>
    <t>Knockback strength. Enemies slammed into each other take this as damage; breakables take more damage</t>
  </si>
  <si>
    <t>Stacks on hit. Each stack slows move and attack speed by 5% (up to 90%)</t>
  </si>
  <si>
    <t>Stacks on hit. At 10 stacks: deals 50 damage, stuns for 2 seconds, then clears</t>
  </si>
  <si>
    <t>Stacks on hit. Deals 1 damage per stack every second until the enemy dies</t>
  </si>
  <si>
    <t>Damage dealt to enemies on hit</t>
  </si>
  <si>
    <t>Damage dealt to you on contact</t>
  </si>
  <si>
    <t>Very high base stats. Chases the nearest player</t>
  </si>
  <si>
    <t>enchant</t>
  </si>
  <si>
    <t>secure</t>
  </si>
  <si>
    <t>Gets 5% damage increase for each dropped glyph</t>
  </si>
  <si>
    <t>Enters and haunts enemies and deal its damage per second to them. Once dead, exits in a random direction.</t>
  </si>
  <si>
    <t>gravity</t>
  </si>
  <si>
    <t>Slow nearby enemies by 30%</t>
  </si>
  <si>
    <t>Every destroyed object increases weight by 1</t>
  </si>
  <si>
    <t>nova</t>
  </si>
  <si>
    <t>Makes a frost nova around the orb every 3 seconds inflicting 5 Chill</t>
  </si>
  <si>
    <t>Shoots ice chards around every 3 seconds, doing 30 damage and inflicting 2 Chill</t>
  </si>
  <si>
    <t>Stacks on hit. Lowers damage dealt and increases damage received by 5% per stack.</t>
  </si>
  <si>
    <t>spore</t>
  </si>
  <si>
    <t>20% chance of adding Disease status to enemies. On death half their Blight spreads to other nearby enemies</t>
  </si>
  <si>
    <t>Leaves a trail of fire after the orb for 2 seconds, inflicting 1 Burn on enemies</t>
  </si>
  <si>
    <t>The marked enemy gets 10 Chill</t>
  </si>
  <si>
    <t>All Blight stacks spread on death</t>
  </si>
  <si>
    <t>Nearby enemies also get Disease status along with the Blight</t>
  </si>
  <si>
    <t>On enemy death, a putrid cloud is left inflicting 1 Blighton passing enemies</t>
  </si>
  <si>
    <t>If orb hits an enemy with 10 or more Chill, kill it instantly</t>
  </si>
  <si>
    <t>Spews lava puddles around it. Lava inflicts 1 Burn per second on passing enemies</t>
  </si>
  <si>
    <t>While holding a glyph, inflict 5 of that glyphs corresponding elemental status to any hit enemies (burn, chill, shock or blight)</t>
  </si>
  <si>
    <t>Dropped glyphs gets a shield protecting against one damage instance</t>
  </si>
  <si>
    <t>Seeks out and picks up glyphs and drops them near the summoning circle.</t>
  </si>
  <si>
    <t>charge</t>
  </si>
  <si>
    <t>Absorbs Shock from enemies. When hitting 20, the next impact creates a powerful thunder strike doing 60 AoE damage</t>
  </si>
  <si>
    <t>recharge</t>
  </si>
  <si>
    <t>The thunder strike applies 5 Shock</t>
  </si>
  <si>
    <t>Gains 1 Shock every 2 seconds</t>
  </si>
  <si>
    <t>Absorbs Shock from enemies without removing it</t>
  </si>
  <si>
    <t>On redirect, lower the cooldown of the next frost nova by 0.2 seconds</t>
  </si>
  <si>
    <t>Activating the summoning circle costs 50% less</t>
  </si>
  <si>
    <t>An image of you is left behind after dashing, attracting enemies. Image last for 3 seconds and have 1 hp</t>
  </si>
  <si>
    <t>Dashing through an enemy deals 10 damage</t>
  </si>
  <si>
    <t>Breakables have a +10% chance of dropping glyphs</t>
  </si>
  <si>
    <t>After redirecting, players becomes immune to all damage for 0.3 second</t>
  </si>
  <si>
    <t>When 1 stack of a basic status afflicts an enemy, add 1 stack of another random one</t>
  </si>
  <si>
    <t>prio</t>
  </si>
  <si>
    <t>Circle activation also damages all nearby enemies</t>
  </si>
  <si>
    <t>tithe</t>
  </si>
  <si>
    <t>Standing in the summoning circle slowly heals</t>
  </si>
  <si>
    <t>groove</t>
  </si>
  <si>
    <t>boil</t>
  </si>
  <si>
    <t>Glyphs have double HP</t>
  </si>
  <si>
    <t>All AOE effects are 20% larger</t>
  </si>
  <si>
    <t>frostburn</t>
  </si>
  <si>
    <t>Once every 20 seconds, block self-damage</t>
  </si>
  <si>
    <t>efficiancy</t>
  </si>
  <si>
    <t>accelerant</t>
  </si>
  <si>
    <t>png_path</t>
  </si>
  <si>
    <t>10% bonus damage to enemies with Chill</t>
  </si>
  <si>
    <t>When two orbs meet an explosion is created inflicting 10 damage</t>
  </si>
  <si>
    <t>While carrying a glyph, take 25% less damage</t>
  </si>
  <si>
    <t>rites</t>
  </si>
  <si>
    <t>ward</t>
  </si>
  <si>
    <t>rebate</t>
  </si>
  <si>
    <t>Glyphs deposited while the circle is active refund +1 mana</t>
  </si>
  <si>
    <t>grace</t>
  </si>
  <si>
    <t>flux</t>
  </si>
  <si>
    <t>clash</t>
  </si>
  <si>
    <t>skewer</t>
  </si>
  <si>
    <t>concuss</t>
  </si>
  <si>
    <t>salvage</t>
  </si>
  <si>
    <t>ballast</t>
  </si>
  <si>
    <t>swell</t>
  </si>
  <si>
    <t>tempered</t>
  </si>
  <si>
    <t>tag</t>
  </si>
  <si>
    <t>status</t>
  </si>
  <si>
    <t>ember</t>
  </si>
  <si>
    <t>Enemies that die with 10 or more burn explode for 10 damage</t>
  </si>
  <si>
    <t>smolder</t>
  </si>
  <si>
    <t>Burn stacks never decay below 1</t>
  </si>
  <si>
    <t>Redirects stop raising self-damage. Speed and enemy damage still rise.</t>
  </si>
  <si>
    <t>mercy</t>
  </si>
  <si>
    <t>Each redirect also adds 1 weight.</t>
  </si>
  <si>
    <t>heft</t>
  </si>
  <si>
    <t>The first orb hit after redirect deals +25% damage</t>
  </si>
  <si>
    <t>followthrough</t>
  </si>
  <si>
    <t>martyr</t>
  </si>
  <si>
    <t>Orbs cannot drop you below 1 HP</t>
  </si>
  <si>
    <t>penance</t>
  </si>
  <si>
    <t>Self-damage taken is added to the mana pool, 1 mana per 3 HP</t>
  </si>
  <si>
    <t>surrogate</t>
  </si>
  <si>
    <t>While you carry a glyph, orb contact damages that glyph instead of you.</t>
  </si>
  <si>
    <t>glass</t>
  </si>
  <si>
    <t>Damage and self-damage is dealt is 30% higher for all orbs</t>
  </si>
  <si>
    <t>payback</t>
  </si>
  <si>
    <t>For 3s after an orb hits you, that orb deals +20% damage to enemies</t>
  </si>
  <si>
    <t>reduce</t>
  </si>
  <si>
    <t>All damage to you is reduced by 1</t>
  </si>
  <si>
    <t>surplus</t>
  </si>
  <si>
    <t>Mana left at level clear carries into the next level.</t>
  </si>
  <si>
    <t>refund</t>
  </si>
  <si>
    <t>Disarming a waiting circle refunds what you paid to arm it.</t>
  </si>
  <si>
    <t>subsidy</t>
  </si>
  <si>
    <t>Blank Orbs cost half the price</t>
  </si>
  <si>
    <t>swarm</t>
  </si>
  <si>
    <t>Increase orb cap to 6</t>
  </si>
  <si>
    <t>An orb that destroys a glyph adds half that glyph's deposit value as mana.</t>
  </si>
  <si>
    <t>premium</t>
  </si>
  <si>
    <t>Unique glyphs deposit 30 mana.</t>
  </si>
  <si>
    <t>While the circle is waiting for an orb, enemies inside its info radius move 20% slower.</t>
  </si>
  <si>
    <t>vigil</t>
  </si>
  <si>
    <t>keeper</t>
  </si>
  <si>
    <t>Transforming gives you one new socketed at random.</t>
  </si>
  <si>
    <t>circle &amp; mana</t>
  </si>
  <si>
    <t>self damage</t>
  </si>
  <si>
    <t>redirect</t>
  </si>
  <si>
    <t>Carrying a glyph does not block dash.</t>
  </si>
  <si>
    <t>unburden</t>
  </si>
  <si>
    <t>courier</t>
  </si>
  <si>
    <t>Thrown glyphs travel 100% farther.</t>
  </si>
  <si>
    <t>The first glyph each level is at least Rare.</t>
  </si>
  <si>
    <t>Glyphs have -50% HP. Deposit mana is +50%.</t>
  </si>
  <si>
    <t>imbue</t>
  </si>
  <si>
    <t>Depositing a Unique glyph also bakes its attribute onto a random live orb for the rest of the level.</t>
  </si>
  <si>
    <t>brittle</t>
  </si>
  <si>
    <t>auspice</t>
  </si>
  <si>
    <t>sepsis</t>
  </si>
  <si>
    <t>Blight also raises Burn tick damage</t>
  </si>
  <si>
    <t>glacier</t>
  </si>
  <si>
    <t>Chill stacks past 15 deal 1 each when applied</t>
  </si>
  <si>
    <t>hairpin</t>
  </si>
  <si>
    <t>Shock triggers at 8 stacks</t>
  </si>
  <si>
    <t>leftover</t>
  </si>
  <si>
    <t>A Shock trigger leaves 3 stacks instead of clearing it to 0</t>
  </si>
  <si>
    <t>Shock stun lasts 3s</t>
  </si>
  <si>
    <t>daze</t>
  </si>
  <si>
    <t>Bowling can chain: an enemy slammed into a second enemy can slam that one into a third, once.</t>
  </si>
  <si>
    <t>wide</t>
  </si>
  <si>
    <t>sickly</t>
  </si>
  <si>
    <t>Double crit chance on enemies afflicted with +5 Blight</t>
  </si>
  <si>
    <t>One enemy in each wave starts with 5 Chill</t>
  </si>
  <si>
    <t>enemy_wave, chill</t>
  </si>
  <si>
    <t>knockback, weight</t>
  </si>
  <si>
    <t>crit_chance, blight</t>
  </si>
  <si>
    <t>blight, burn</t>
  </si>
  <si>
    <t>glyph</t>
  </si>
  <si>
    <t>Two nearby glyphs have a small chance of merging into one of a higher rarity</t>
  </si>
  <si>
    <t>fuse</t>
  </si>
  <si>
    <t>Destroying every breakable in the level deals 200 damage to all enemies</t>
  </si>
  <si>
    <t>clearcut</t>
  </si>
  <si>
    <t>aoe</t>
  </si>
  <si>
    <t>burn, chill</t>
  </si>
  <si>
    <t>self-damage</t>
  </si>
  <si>
    <t>summoning_circle</t>
  </si>
  <si>
    <t>Each time Shock triggers, trigger Burn twice</t>
  </si>
  <si>
    <t>shock, burn</t>
  </si>
  <si>
    <t>breakable</t>
  </si>
  <si>
    <t>dash</t>
  </si>
  <si>
    <t>Thrown glyphs stun 0.5 seconds on hit</t>
  </si>
  <si>
    <t>mining</t>
  </si>
  <si>
    <t>Increase Splash by X</t>
  </si>
  <si>
    <t>Increase Chill by X</t>
  </si>
  <si>
    <t>Increase Burn by X</t>
  </si>
  <si>
    <t>Decrease Self Damage by X</t>
  </si>
  <si>
    <t>Increase Glyph Drop by X</t>
  </si>
  <si>
    <t>Increase Shock by X</t>
  </si>
  <si>
    <t>Decrease Speed by X</t>
  </si>
  <si>
    <t>Increase Blight by X</t>
  </si>
  <si>
    <t>Increase Damage by X</t>
  </si>
  <si>
    <t>Increases Weight by X</t>
  </si>
  <si>
    <t>Increase Crit Damage by X</t>
  </si>
  <si>
    <t>Increase Crit Chance by X</t>
  </si>
  <si>
    <t>rally</t>
  </si>
  <si>
    <t>assistance</t>
  </si>
  <si>
    <t>A breakable destroyed by an enemy has a 40% glyph drop chance</t>
  </si>
  <si>
    <t>breakable, glyph</t>
  </si>
  <si>
    <t>Each time 3 or more stacks of Chill is inflicted, inflict 1 burn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</si>
</sst>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B17ED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4" fillId="0" borderId="0"/>
  </cellStyleXfs>
  <cellXfs count="18">
    <xf numFmtId="0" fontId="0" fillId="0" borderId="0" xfId="0"/>
    <xf numFmtId="0" fontId="0" fillId="0" borderId="0" xfId="0" quotePrefix="1"/>
    <xf numFmtId="0" fontId="0" fillId="0" borderId="0" xfId="0" applyAlignment="1">
      <alignment horizontal="center"/>
    </xf>
    <xf numFmtId="0" fontId="1" fillId="0" borderId="0" xfId="0" applyFont="1"/>
    <xf numFmtId="0" fontId="1" fillId="0" borderId="1" xfId="0" applyFont="1" applyBorder="1"/>
    <xf numFmtId="0" fontId="2" fillId="0" borderId="0" xfId="0" applyFont="1"/>
    <xf numFmtId="9" fontId="0" fillId="0" borderId="0" xfId="0" applyNumberFormat="1"/>
    <xf numFmtId="0" fontId="3" fillId="0" borderId="0" xfId="0" applyFont="1"/>
    <xf numFmtId="9" fontId="0" fillId="0" borderId="0" xfId="1" applyFont="1"/>
    <xf numFmtId="0" fontId="1" fillId="2" borderId="1" xfId="0" applyFont="1" applyFill="1" applyBorder="1"/>
    <xf numFmtId="0" fontId="1" fillId="3" borderId="1" xfId="0" applyFont="1" applyFill="1" applyBorder="1"/>
    <xf numFmtId="0" fontId="0" fillId="4" borderId="0" xfId="0" applyFill="1"/>
    <xf numFmtId="0" fontId="0" fillId="5" borderId="0" xfId="0" applyFill="1"/>
    <xf numFmtId="0" fontId="1" fillId="6" borderId="1" xfId="0" applyFont="1" applyFill="1" applyBorder="1"/>
    <xf numFmtId="0" fontId="0" fillId="7" borderId="0" xfId="0" applyFill="1"/>
    <xf numFmtId="0" fontId="0" fillId="3" borderId="0" xfId="0" applyFill="1"/>
    <xf numFmtId="0" fontId="0" fillId="8" borderId="0" xfId="0" applyFill="1"/>
    <xf numFmtId="0" fontId="0" fillId="9" borderId="0" xfId="0" applyFill="1"/>
  </cellXfs>
  <cellStyles count="2">
    <cellStyle name="Normal" xfId="0" builtinId="0"/>
    <cellStyle name="Percent" xfId="1" builtinId="5"/>
  </cellStyles>
  <dxfs count="13">
    <dxf>
      <fill>
        <patternFill patternType="solid"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3" tint="0.79998168889431442"/>
        </patternFill>
      </fill>
    </dxf>
    <dxf>
      <fill>
        <patternFill>
          <bgColor rgb="FFFF7C80"/>
        </patternFill>
      </fill>
    </dxf>
    <dxf>
      <fill>
        <patternFill>
          <bgColor theme="4" tint="0.59996337778862885"/>
        </patternFill>
      </fill>
    </dxf>
    <dxf>
      <fill>
        <patternFill>
          <bgColor rgb="FFCA8914"/>
        </patternFill>
      </fill>
    </dxf>
    <dxf>
      <fill>
        <patternFill>
          <bgColor theme="3" tint="0.79998168889431442"/>
        </patternFill>
      </fill>
    </dxf>
    <dxf>
      <fill>
        <patternFill>
          <bgColor rgb="FFFF7C80"/>
        </patternFill>
      </fill>
    </dxf>
    <dxf>
      <fill>
        <patternFill>
          <bgColor theme="4" tint="0.59996337778862885"/>
        </patternFill>
      </fill>
    </dxf>
    <dxf>
      <fill>
        <patternFill>
          <bgColor rgb="FFCA8914"/>
        </patternFill>
      </fill>
    </dxf>
    <dxf>
      <fill>
        <patternFill>
          <bgColor theme="3" tint="0.79998168889431442"/>
        </patternFill>
      </fill>
    </dxf>
    <dxf>
      <fill>
        <patternFill>
          <bgColor rgb="FFFF7C80"/>
        </patternFill>
      </fill>
    </dxf>
    <dxf>
      <fill>
        <patternFill>
          <bgColor theme="4" tint="0.59996337778862885"/>
        </patternFill>
      </fill>
    </dxf>
    <dxf>
      <fill>
        <patternFill>
          <bgColor rgb="FFCA8914"/>
        </patternFill>
      </fill>
    </dxf>
  </dxfs>
  <tableStyles count="0" defaultTableStyle="TableStyleMedium2" defaultPivotStyle="PivotStyleLight16"/>
  <colors>
    <mruColors>
      <color rgb="FFB17E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59999389629810485"/>
  </sheetPr>
  <dimension ref="A1:W98"/>
  <sheetViews>
    <sheetView workbookViewId="0">
      <pane xSplit="1" ySplit="1" topLeftCell="C2" activePane="bottomRight" state="frozen"/>
      <selection pane="topRight" activeCell="B1" sqref="B1"/>
      <selection pane="bottomLeft" activeCell="A2" sqref="A2"/>
      <selection pane="bottomRight" activeCell="A15" sqref="A15"/>
    </sheetView>
  </sheetViews>
  <sheetFormatPr defaultRowHeight="15" x14ac:dyDescent="0.25"/>
  <cols>
    <col min="1" max="1" width="19.42578125" customWidth="1"/>
    <col min="2" max="2" width="17.5703125" customWidth="1"/>
    <col min="3" max="3" width="114.7109375" customWidth="1"/>
    <col min="4" max="4" width="16.7109375" customWidth="1"/>
    <col min="5" max="5" width="10.5703125" customWidth="1"/>
    <col min="6" max="6" width="13.42578125" customWidth="1"/>
    <col min="7" max="7" width="20" hidden="1" customWidth="1"/>
    <col min="8" max="8" width="20" customWidth="1"/>
    <col min="9" max="9" width="15" customWidth="1"/>
    <col min="10" max="10" width="10.42578125" customWidth="1"/>
    <col min="11" max="11" width="15.42578125" customWidth="1"/>
    <col min="12" max="13" width="14.5703125" customWidth="1"/>
    <col min="14" max="14" width="8.5703125" customWidth="1"/>
    <col min="16" max="16" width="8.85546875" bestFit="1" customWidth="1"/>
    <col min="17" max="17" width="14.5703125" customWidth="1"/>
    <col min="18" max="18" width="11" customWidth="1"/>
    <col min="19" max="19" width="8.42578125" customWidth="1"/>
    <col min="20" max="20" width="8.5703125" customWidth="1"/>
    <col min="21" max="21" width="8.7109375" customWidth="1"/>
    <col min="22" max="22" width="47" customWidth="1"/>
  </cols>
  <sheetData>
    <row r="1" spans="1:23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H1" s="4" t="s">
        <v>6</v>
      </c>
      <c r="I1" s="10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57</v>
      </c>
      <c r="V1" s="13" t="s">
        <v>20</v>
      </c>
      <c r="W1" s="13" t="s">
        <v>21</v>
      </c>
    </row>
    <row r="2" spans="1:23" x14ac:dyDescent="0.25">
      <c r="A2" t="s">
        <v>22</v>
      </c>
      <c r="B2" t="str">
        <f t="shared" ref="B2:B12" si="0">PROPER(SUBSTITUTE(A2,"_"," "))</f>
        <v>Blank</v>
      </c>
      <c r="C2" t="s">
        <v>23</v>
      </c>
      <c r="H2" t="str">
        <f t="shared" ref="H2:H33" si="1">IF(ISBLANK(F2),"",IF(COUNTIF($G$2:$G$101,G2)=1,"Yes","No"))</f>
        <v/>
      </c>
      <c r="I2" t="s">
        <v>24</v>
      </c>
      <c r="J2">
        <v>10</v>
      </c>
      <c r="K2">
        <v>10</v>
      </c>
      <c r="L2" s="8">
        <v>0.05</v>
      </c>
      <c r="M2" s="8">
        <v>2</v>
      </c>
      <c r="N2">
        <v>100</v>
      </c>
      <c r="O2">
        <v>5</v>
      </c>
      <c r="P2" s="8">
        <v>0</v>
      </c>
      <c r="Q2" s="8">
        <v>0.2</v>
      </c>
      <c r="R2">
        <v>0</v>
      </c>
      <c r="S2">
        <v>0</v>
      </c>
      <c r="T2">
        <v>0</v>
      </c>
      <c r="U2">
        <v>0</v>
      </c>
      <c r="V2" t="str">
        <f>"res://entities/orbs/blank/"&amp;A2&amp;"_orb.tscn"</f>
        <v>res://entities/orbs/blank/blank_orb.tscn</v>
      </c>
      <c r="W2" t="b">
        <v>1</v>
      </c>
    </row>
    <row r="3" spans="1:23" x14ac:dyDescent="0.25">
      <c r="A3" t="s">
        <v>25</v>
      </c>
      <c r="B3" t="str">
        <f t="shared" si="0"/>
        <v>Conduit</v>
      </c>
      <c r="C3" t="s">
        <v>26</v>
      </c>
      <c r="D3" t="s">
        <v>27</v>
      </c>
      <c r="E3" t="s">
        <v>27</v>
      </c>
      <c r="F3" t="s">
        <v>28</v>
      </c>
      <c r="G3" t="str">
        <f t="shared" ref="G3:G34" si="2">_xlfn.TEXTJOIN("|",TRUE,_xlfn._xlws.SORT(D3:F3))</f>
        <v>Air|Air|Fire</v>
      </c>
      <c r="H3" t="str">
        <f t="shared" si="1"/>
        <v>Yes</v>
      </c>
      <c r="I3" t="s">
        <v>24</v>
      </c>
      <c r="J3">
        <v>10</v>
      </c>
      <c r="K3">
        <v>10</v>
      </c>
      <c r="L3" s="8">
        <v>0.05</v>
      </c>
      <c r="M3" s="8">
        <v>2</v>
      </c>
      <c r="N3">
        <v>130</v>
      </c>
      <c r="O3">
        <v>5</v>
      </c>
      <c r="P3" s="8">
        <v>0</v>
      </c>
      <c r="Q3" s="8">
        <v>0.2</v>
      </c>
      <c r="R3">
        <v>0</v>
      </c>
      <c r="S3">
        <v>0</v>
      </c>
      <c r="T3">
        <v>3</v>
      </c>
      <c r="U3">
        <v>0</v>
      </c>
      <c r="V3" t="str">
        <f t="shared" ref="V3:V10" si="3">"res://entities/orbs/blank/"&amp;A3&amp;"_orb.tscn"</f>
        <v>res://entities/orbs/blank/conduit_orb.tscn</v>
      </c>
      <c r="W3" t="b">
        <v>1</v>
      </c>
    </row>
    <row r="4" spans="1:23" x14ac:dyDescent="0.25">
      <c r="A4" t="s">
        <v>29</v>
      </c>
      <c r="B4" t="str">
        <f t="shared" si="0"/>
        <v>Contagion</v>
      </c>
      <c r="C4" t="s">
        <v>285</v>
      </c>
      <c r="D4" t="s">
        <v>30</v>
      </c>
      <c r="E4" t="s">
        <v>30</v>
      </c>
      <c r="F4" t="s">
        <v>27</v>
      </c>
      <c r="G4" t="str">
        <f t="shared" si="2"/>
        <v>Earth|Earth|Air</v>
      </c>
      <c r="H4" t="str">
        <f t="shared" si="1"/>
        <v>Yes</v>
      </c>
      <c r="I4" t="s">
        <v>24</v>
      </c>
      <c r="J4">
        <v>5</v>
      </c>
      <c r="K4">
        <v>10</v>
      </c>
      <c r="L4" s="8">
        <v>0.05</v>
      </c>
      <c r="M4" s="8">
        <v>2</v>
      </c>
      <c r="N4">
        <v>80</v>
      </c>
      <c r="O4">
        <v>7</v>
      </c>
      <c r="P4" s="8">
        <v>0.01</v>
      </c>
      <c r="Q4" s="8">
        <v>0.2</v>
      </c>
      <c r="R4">
        <v>0</v>
      </c>
      <c r="S4">
        <v>0</v>
      </c>
      <c r="T4">
        <v>0</v>
      </c>
      <c r="U4">
        <v>3</v>
      </c>
      <c r="V4" t="str">
        <f t="shared" si="3"/>
        <v>res://entities/orbs/blank/contagion_orb.tscn</v>
      </c>
      <c r="W4" t="b">
        <v>1</v>
      </c>
    </row>
    <row r="5" spans="1:23" x14ac:dyDescent="0.25">
      <c r="A5" t="s">
        <v>31</v>
      </c>
      <c r="B5" t="str">
        <f t="shared" si="0"/>
        <v>Ghost</v>
      </c>
      <c r="C5" t="s">
        <v>276</v>
      </c>
      <c r="D5" t="s">
        <v>27</v>
      </c>
      <c r="E5" t="s">
        <v>27</v>
      </c>
      <c r="F5" t="s">
        <v>30</v>
      </c>
      <c r="G5" t="str">
        <f t="shared" si="2"/>
        <v>Air|Air|Earth</v>
      </c>
      <c r="H5" t="str">
        <f t="shared" si="1"/>
        <v>Yes</v>
      </c>
      <c r="I5" t="s">
        <v>24</v>
      </c>
      <c r="J5">
        <v>10</v>
      </c>
      <c r="K5">
        <v>10</v>
      </c>
      <c r="L5" s="8">
        <v>0.05</v>
      </c>
      <c r="M5" s="8">
        <v>2</v>
      </c>
      <c r="N5">
        <v>110</v>
      </c>
      <c r="O5">
        <v>2</v>
      </c>
      <c r="P5" s="8">
        <v>0</v>
      </c>
      <c r="Q5" s="8">
        <v>0.2</v>
      </c>
      <c r="R5">
        <v>0</v>
      </c>
      <c r="S5">
        <v>0</v>
      </c>
      <c r="T5">
        <v>0</v>
      </c>
      <c r="U5">
        <v>0</v>
      </c>
      <c r="V5" t="str">
        <f t="shared" si="3"/>
        <v>res://entities/orbs/blank/ghost_orb.tscn</v>
      </c>
      <c r="W5" t="b">
        <v>1</v>
      </c>
    </row>
    <row r="6" spans="1:23" x14ac:dyDescent="0.25">
      <c r="A6" t="s">
        <v>32</v>
      </c>
      <c r="B6" t="str">
        <f t="shared" si="0"/>
        <v>Inferno</v>
      </c>
      <c r="C6" t="s">
        <v>286</v>
      </c>
      <c r="D6" t="s">
        <v>28</v>
      </c>
      <c r="E6" t="s">
        <v>28</v>
      </c>
      <c r="F6" t="s">
        <v>28</v>
      </c>
      <c r="G6" t="str">
        <f t="shared" si="2"/>
        <v>Fire|Fire|Fire</v>
      </c>
      <c r="H6" t="str">
        <f t="shared" si="1"/>
        <v>Yes</v>
      </c>
      <c r="I6" t="s">
        <v>24</v>
      </c>
      <c r="J6">
        <v>10</v>
      </c>
      <c r="K6">
        <v>15</v>
      </c>
      <c r="L6" s="8">
        <v>0.05</v>
      </c>
      <c r="M6" s="8">
        <v>2</v>
      </c>
      <c r="N6">
        <v>90</v>
      </c>
      <c r="O6">
        <v>3</v>
      </c>
      <c r="P6" s="8">
        <v>0.05</v>
      </c>
      <c r="Q6" s="8">
        <v>0.2</v>
      </c>
      <c r="R6">
        <v>3</v>
      </c>
      <c r="S6">
        <v>0</v>
      </c>
      <c r="T6">
        <v>0</v>
      </c>
      <c r="U6">
        <v>0</v>
      </c>
      <c r="V6" t="str">
        <f>"res://entities/orbs/blank/"&amp;A6&amp;"_orb.tscn"</f>
        <v>res://entities/orbs/blank/inferno_orb.tscn</v>
      </c>
      <c r="W6" t="b">
        <v>0</v>
      </c>
    </row>
    <row r="7" spans="1:23" x14ac:dyDescent="0.25">
      <c r="A7" t="s">
        <v>33</v>
      </c>
      <c r="B7" t="str">
        <f t="shared" si="0"/>
        <v>Shard</v>
      </c>
      <c r="C7" t="s">
        <v>282</v>
      </c>
      <c r="D7" t="s">
        <v>34</v>
      </c>
      <c r="E7" t="s">
        <v>34</v>
      </c>
      <c r="F7" t="s">
        <v>28</v>
      </c>
      <c r="G7" t="str">
        <f t="shared" si="2"/>
        <v>Water|Water|Fire</v>
      </c>
      <c r="H7" t="str">
        <f t="shared" si="1"/>
        <v>Yes</v>
      </c>
      <c r="I7" t="s">
        <v>24</v>
      </c>
      <c r="J7">
        <v>10</v>
      </c>
      <c r="K7">
        <v>15</v>
      </c>
      <c r="L7" s="8">
        <v>0.05</v>
      </c>
      <c r="M7" s="8">
        <v>2</v>
      </c>
      <c r="N7">
        <v>90</v>
      </c>
      <c r="O7">
        <v>3</v>
      </c>
      <c r="P7" s="8">
        <v>0.05</v>
      </c>
      <c r="Q7" s="8">
        <v>0.2</v>
      </c>
      <c r="R7">
        <v>3</v>
      </c>
      <c r="S7">
        <v>0</v>
      </c>
      <c r="T7">
        <v>0</v>
      </c>
      <c r="U7">
        <v>0</v>
      </c>
      <c r="V7" t="str">
        <f>"res://entities/orbs/blank/"&amp;A7&amp;"_orb.tscn"</f>
        <v>res://entities/orbs/blank/shard_orb.tscn</v>
      </c>
      <c r="W7" t="b">
        <v>0</v>
      </c>
    </row>
    <row r="8" spans="1:23" x14ac:dyDescent="0.25">
      <c r="A8" t="s">
        <v>35</v>
      </c>
      <c r="B8" t="str">
        <f t="shared" si="0"/>
        <v>Runic</v>
      </c>
      <c r="C8" t="s">
        <v>295</v>
      </c>
      <c r="D8" t="s">
        <v>34</v>
      </c>
      <c r="E8" t="s">
        <v>34</v>
      </c>
      <c r="F8" t="s">
        <v>34</v>
      </c>
      <c r="G8" t="str">
        <f t="shared" si="2"/>
        <v>Water|Water|Water</v>
      </c>
      <c r="H8" t="str">
        <f t="shared" si="1"/>
        <v>Yes</v>
      </c>
      <c r="J8">
        <v>10</v>
      </c>
      <c r="K8">
        <v>15</v>
      </c>
      <c r="L8" s="8">
        <v>0.05</v>
      </c>
      <c r="M8" s="8">
        <v>2</v>
      </c>
      <c r="N8">
        <v>60</v>
      </c>
      <c r="O8">
        <v>3</v>
      </c>
      <c r="P8" s="8">
        <v>0.05</v>
      </c>
      <c r="Q8" s="8">
        <v>0.3</v>
      </c>
      <c r="R8">
        <v>3</v>
      </c>
      <c r="S8">
        <v>0</v>
      </c>
      <c r="T8">
        <v>0</v>
      </c>
      <c r="U8">
        <v>0</v>
      </c>
      <c r="V8" t="str">
        <f t="shared" si="3"/>
        <v>res://entities/orbs/blank/runic_orb.tscn</v>
      </c>
      <c r="W8" t="b">
        <v>1</v>
      </c>
    </row>
    <row r="9" spans="1:23" x14ac:dyDescent="0.25">
      <c r="A9" t="s">
        <v>36</v>
      </c>
      <c r="B9" t="str">
        <f t="shared" si="0"/>
        <v>Guardian</v>
      </c>
      <c r="C9" t="s">
        <v>37</v>
      </c>
      <c r="D9" t="s">
        <v>34</v>
      </c>
      <c r="E9" t="s">
        <v>34</v>
      </c>
      <c r="F9" t="s">
        <v>30</v>
      </c>
      <c r="G9" t="str">
        <f t="shared" si="2"/>
        <v>Water|Water|Earth</v>
      </c>
      <c r="H9" t="str">
        <f t="shared" si="1"/>
        <v>Yes</v>
      </c>
      <c r="V9" t="str">
        <f t="shared" si="3"/>
        <v>res://entities/orbs/blank/guardian_orb.tscn</v>
      </c>
      <c r="W9" t="b">
        <v>0</v>
      </c>
    </row>
    <row r="10" spans="1:23" x14ac:dyDescent="0.25">
      <c r="A10" t="s">
        <v>38</v>
      </c>
      <c r="B10" t="str">
        <f t="shared" si="0"/>
        <v>Mend</v>
      </c>
      <c r="C10" t="s">
        <v>39</v>
      </c>
      <c r="D10" t="s">
        <v>30</v>
      </c>
      <c r="E10" t="s">
        <v>30</v>
      </c>
      <c r="F10" t="s">
        <v>34</v>
      </c>
      <c r="G10" t="str">
        <f t="shared" si="2"/>
        <v>Earth|Earth|Water</v>
      </c>
      <c r="H10" t="str">
        <f t="shared" si="1"/>
        <v>Yes</v>
      </c>
      <c r="I10" t="s">
        <v>95</v>
      </c>
      <c r="V10" t="str">
        <f t="shared" si="3"/>
        <v>res://entities/orbs/blank/mend_orb.tscn</v>
      </c>
      <c r="W10" t="b">
        <v>0</v>
      </c>
    </row>
    <row r="11" spans="1:23" x14ac:dyDescent="0.25">
      <c r="A11" t="s">
        <v>40</v>
      </c>
      <c r="B11" t="str">
        <f t="shared" si="0"/>
        <v>Destroyer</v>
      </c>
      <c r="C11" t="s">
        <v>272</v>
      </c>
      <c r="D11" t="s">
        <v>28</v>
      </c>
      <c r="E11" t="s">
        <v>27</v>
      </c>
      <c r="F11" t="s">
        <v>30</v>
      </c>
      <c r="G11" t="str">
        <f t="shared" si="2"/>
        <v>Fire|Air|Earth</v>
      </c>
      <c r="H11" t="str">
        <f t="shared" si="1"/>
        <v>Yes</v>
      </c>
      <c r="I11" t="s">
        <v>41</v>
      </c>
      <c r="J11">
        <v>50</v>
      </c>
      <c r="K11">
        <v>50</v>
      </c>
      <c r="L11" s="8">
        <v>0.1</v>
      </c>
      <c r="M11" s="8">
        <v>2.5</v>
      </c>
      <c r="N11">
        <v>110</v>
      </c>
      <c r="O11">
        <v>15</v>
      </c>
      <c r="P11" s="8">
        <v>0.1</v>
      </c>
      <c r="Q11" s="8">
        <v>0.25</v>
      </c>
      <c r="R11">
        <v>3</v>
      </c>
      <c r="S11">
        <v>3</v>
      </c>
      <c r="T11">
        <v>3</v>
      </c>
      <c r="U11">
        <v>3</v>
      </c>
      <c r="V11" t="str">
        <f>"res://entities/orbs/blank/"&amp;A11&amp;"_orb.tscn"</f>
        <v>res://entities/orbs/blank/destroyer_orb.tscn</v>
      </c>
      <c r="W11" t="b">
        <v>0</v>
      </c>
    </row>
    <row r="12" spans="1:23" x14ac:dyDescent="0.25">
      <c r="A12" t="s">
        <v>247</v>
      </c>
      <c r="B12" t="str">
        <f t="shared" si="0"/>
        <v>Vulcano</v>
      </c>
      <c r="C12" t="s">
        <v>292</v>
      </c>
      <c r="D12" t="s">
        <v>28</v>
      </c>
      <c r="E12" t="s">
        <v>30</v>
      </c>
      <c r="F12" t="s">
        <v>30</v>
      </c>
      <c r="G12" t="str">
        <f t="shared" si="2"/>
        <v>Fire|Earth|Earth</v>
      </c>
      <c r="H12" t="str">
        <f t="shared" si="1"/>
        <v>Yes</v>
      </c>
      <c r="I12" t="s">
        <v>98</v>
      </c>
      <c r="J12">
        <v>5</v>
      </c>
      <c r="K12">
        <v>15</v>
      </c>
      <c r="L12" s="8">
        <v>0.05</v>
      </c>
      <c r="M12" s="8">
        <v>2</v>
      </c>
      <c r="N12">
        <v>150</v>
      </c>
      <c r="O12">
        <v>6</v>
      </c>
      <c r="P12" s="8">
        <v>0</v>
      </c>
      <c r="Q12" s="8">
        <v>0.2</v>
      </c>
      <c r="R12">
        <v>2</v>
      </c>
      <c r="S12">
        <v>0</v>
      </c>
      <c r="T12">
        <v>0</v>
      </c>
      <c r="U12">
        <v>0</v>
      </c>
      <c r="V12" t="str">
        <f>"res://entities/orbs/blank/"&amp;A12&amp;"_orb.tscn"</f>
        <v>res://entities/orbs/blank/vulcano_orb.tscn</v>
      </c>
      <c r="W12" t="b">
        <v>1</v>
      </c>
    </row>
    <row r="13" spans="1:23" x14ac:dyDescent="0.25">
      <c r="A13" t="s">
        <v>248</v>
      </c>
      <c r="B13" t="str">
        <f t="shared" ref="B13:B44" si="4">PROPER(SUBSTITUTE(A13,"_"," "))</f>
        <v>Lure</v>
      </c>
      <c r="C13" t="s">
        <v>249</v>
      </c>
      <c r="D13" t="s">
        <v>34</v>
      </c>
      <c r="E13" t="s">
        <v>27</v>
      </c>
      <c r="F13" t="s">
        <v>30</v>
      </c>
      <c r="G13" t="str">
        <f t="shared" si="2"/>
        <v>Water|Air|Earth</v>
      </c>
      <c r="H13" t="str">
        <f t="shared" si="1"/>
        <v>Yes</v>
      </c>
      <c r="V13" t="str">
        <f>"res://entities/orbs/blank/"&amp;A13&amp;"_orb.tscn"</f>
        <v>res://entities/orbs/blank/lure_orb.tscn</v>
      </c>
    </row>
    <row r="14" spans="1:23" x14ac:dyDescent="0.25">
      <c r="A14" t="s">
        <v>436</v>
      </c>
      <c r="B14" t="str">
        <f t="shared" si="4"/>
        <v>Rally</v>
      </c>
      <c r="C14" t="s">
        <v>250</v>
      </c>
      <c r="D14" t="s">
        <v>34</v>
      </c>
      <c r="E14" t="s">
        <v>27</v>
      </c>
      <c r="F14" t="s">
        <v>28</v>
      </c>
      <c r="G14" t="str">
        <f t="shared" si="2"/>
        <v>Water|Air|Fire</v>
      </c>
      <c r="H14" t="str">
        <f t="shared" si="1"/>
        <v>Yes</v>
      </c>
      <c r="V14" t="str">
        <f t="shared" ref="V14:V18" si="5">"res://entities/orbs/blank/"&amp;A14&amp;"_orb.tscn"</f>
        <v>res://entities/orbs/blank/rally_orb.tscn</v>
      </c>
    </row>
    <row r="15" spans="1:23" x14ac:dyDescent="0.25">
      <c r="A15" t="s">
        <v>251</v>
      </c>
      <c r="B15" t="str">
        <f t="shared" si="4"/>
        <v>Hunger</v>
      </c>
      <c r="C15" t="s">
        <v>279</v>
      </c>
      <c r="D15" t="s">
        <v>30</v>
      </c>
      <c r="E15" t="s">
        <v>28</v>
      </c>
      <c r="F15" t="s">
        <v>28</v>
      </c>
      <c r="G15" t="str">
        <f t="shared" si="2"/>
        <v>Earth|Fire|Fire</v>
      </c>
      <c r="H15" t="str">
        <f t="shared" si="1"/>
        <v>Yes</v>
      </c>
      <c r="V15" t="str">
        <f t="shared" si="5"/>
        <v>res://entities/orbs/blank/hunger_orb.tscn</v>
      </c>
    </row>
    <row r="16" spans="1:23" x14ac:dyDescent="0.25">
      <c r="A16" t="s">
        <v>252</v>
      </c>
      <c r="B16" t="str">
        <f t="shared" si="4"/>
        <v>Vengance</v>
      </c>
      <c r="C16" t="s">
        <v>253</v>
      </c>
      <c r="D16" t="s">
        <v>27</v>
      </c>
      <c r="E16" t="s">
        <v>27</v>
      </c>
      <c r="F16" t="s">
        <v>34</v>
      </c>
      <c r="G16" t="str">
        <f t="shared" si="2"/>
        <v>Air|Air|Water</v>
      </c>
      <c r="H16" t="str">
        <f t="shared" si="1"/>
        <v>Yes</v>
      </c>
      <c r="I16" t="s">
        <v>124</v>
      </c>
      <c r="V16" t="str">
        <f t="shared" si="5"/>
        <v>res://entities/orbs/blank/vengance_orb.tscn</v>
      </c>
    </row>
    <row r="17" spans="1:23" x14ac:dyDescent="0.25">
      <c r="A17" t="s">
        <v>254</v>
      </c>
      <c r="B17" t="str">
        <f t="shared" si="4"/>
        <v>Hunter</v>
      </c>
      <c r="C17" t="s">
        <v>255</v>
      </c>
      <c r="D17" t="s">
        <v>28</v>
      </c>
      <c r="E17" t="s">
        <v>30</v>
      </c>
      <c r="F17" t="s">
        <v>27</v>
      </c>
      <c r="G17" t="str">
        <f t="shared" si="2"/>
        <v>Fire|Earth|Air</v>
      </c>
      <c r="H17" t="str">
        <f t="shared" si="1"/>
        <v>Yes</v>
      </c>
      <c r="V17" t="str">
        <f t="shared" si="5"/>
        <v>res://entities/orbs/blank/hunter_orb.tscn</v>
      </c>
    </row>
    <row r="18" spans="1:23" x14ac:dyDescent="0.25">
      <c r="A18" t="s">
        <v>280</v>
      </c>
      <c r="B18" t="str">
        <f t="shared" si="4"/>
        <v>Nova</v>
      </c>
      <c r="C18" t="s">
        <v>281</v>
      </c>
      <c r="D18" t="s">
        <v>34</v>
      </c>
      <c r="E18" t="s">
        <v>34</v>
      </c>
      <c r="F18" t="s">
        <v>27</v>
      </c>
      <c r="G18" t="str">
        <f t="shared" si="2"/>
        <v>Water|Water|Air</v>
      </c>
      <c r="H18" t="str">
        <f t="shared" si="1"/>
        <v>Yes</v>
      </c>
      <c r="I18" t="s">
        <v>24</v>
      </c>
      <c r="J18">
        <v>10</v>
      </c>
      <c r="K18">
        <v>12</v>
      </c>
      <c r="L18" s="8">
        <v>0.05</v>
      </c>
      <c r="M18" s="8">
        <v>2</v>
      </c>
      <c r="N18">
        <v>105</v>
      </c>
      <c r="O18">
        <v>8</v>
      </c>
      <c r="P18" s="8">
        <v>0.1</v>
      </c>
      <c r="Q18" s="8">
        <v>0.2</v>
      </c>
      <c r="R18">
        <v>0</v>
      </c>
      <c r="S18">
        <v>3</v>
      </c>
      <c r="T18">
        <v>0</v>
      </c>
      <c r="U18">
        <v>0</v>
      </c>
      <c r="V18" t="str">
        <f t="shared" si="5"/>
        <v>res://entities/orbs/blank/nova_orb.tscn</v>
      </c>
      <c r="W18" t="b">
        <v>1</v>
      </c>
    </row>
    <row r="19" spans="1:23" x14ac:dyDescent="0.25">
      <c r="A19" t="s">
        <v>296</v>
      </c>
      <c r="B19" t="str">
        <f t="shared" si="4"/>
        <v>Charge</v>
      </c>
      <c r="C19" t="s">
        <v>297</v>
      </c>
      <c r="D19" t="s">
        <v>27</v>
      </c>
      <c r="E19" t="s">
        <v>27</v>
      </c>
      <c r="F19" t="s">
        <v>27</v>
      </c>
      <c r="G19" t="str">
        <f t="shared" si="2"/>
        <v>Air|Air|Air</v>
      </c>
      <c r="H19" t="str">
        <f t="shared" si="1"/>
        <v>Yes</v>
      </c>
    </row>
    <row r="20" spans="1:23" x14ac:dyDescent="0.25">
      <c r="B20" t="str">
        <f t="shared" si="4"/>
        <v/>
      </c>
      <c r="G20" t="str">
        <f t="shared" si="2"/>
        <v/>
      </c>
      <c r="H20" t="str">
        <f t="shared" si="1"/>
        <v/>
      </c>
    </row>
    <row r="21" spans="1:23" x14ac:dyDescent="0.25">
      <c r="B21" t="str">
        <f t="shared" si="4"/>
        <v/>
      </c>
      <c r="G21" t="str">
        <f t="shared" si="2"/>
        <v/>
      </c>
      <c r="H21" t="str">
        <f t="shared" si="1"/>
        <v/>
      </c>
    </row>
    <row r="22" spans="1:23" x14ac:dyDescent="0.25">
      <c r="B22" t="str">
        <f t="shared" si="4"/>
        <v/>
      </c>
      <c r="G22" t="str">
        <f t="shared" si="2"/>
        <v/>
      </c>
      <c r="H22" t="str">
        <f t="shared" si="1"/>
        <v/>
      </c>
    </row>
    <row r="23" spans="1:23" x14ac:dyDescent="0.25">
      <c r="B23" t="str">
        <f t="shared" si="4"/>
        <v/>
      </c>
      <c r="G23" t="str">
        <f t="shared" si="2"/>
        <v/>
      </c>
      <c r="H23" t="str">
        <f t="shared" si="1"/>
        <v/>
      </c>
    </row>
    <row r="24" spans="1:23" x14ac:dyDescent="0.25">
      <c r="B24" t="str">
        <f t="shared" si="4"/>
        <v/>
      </c>
      <c r="G24" t="str">
        <f t="shared" si="2"/>
        <v/>
      </c>
      <c r="H24" t="str">
        <f t="shared" si="1"/>
        <v/>
      </c>
    </row>
    <row r="25" spans="1:23" x14ac:dyDescent="0.25">
      <c r="B25" t="str">
        <f t="shared" si="4"/>
        <v/>
      </c>
      <c r="G25" t="str">
        <f t="shared" si="2"/>
        <v/>
      </c>
      <c r="H25" t="str">
        <f t="shared" si="1"/>
        <v/>
      </c>
    </row>
    <row r="26" spans="1:23" x14ac:dyDescent="0.25">
      <c r="B26" t="str">
        <f t="shared" si="4"/>
        <v/>
      </c>
      <c r="G26" t="str">
        <f t="shared" si="2"/>
        <v/>
      </c>
      <c r="H26" t="str">
        <f t="shared" si="1"/>
        <v/>
      </c>
    </row>
    <row r="27" spans="1:23" x14ac:dyDescent="0.25">
      <c r="B27" t="str">
        <f t="shared" si="4"/>
        <v/>
      </c>
      <c r="G27" t="str">
        <f t="shared" si="2"/>
        <v/>
      </c>
      <c r="H27" t="str">
        <f t="shared" si="1"/>
        <v/>
      </c>
    </row>
    <row r="28" spans="1:23" x14ac:dyDescent="0.25">
      <c r="B28" t="str">
        <f t="shared" si="4"/>
        <v/>
      </c>
      <c r="G28" t="str">
        <f t="shared" si="2"/>
        <v/>
      </c>
      <c r="H28" t="str">
        <f t="shared" si="1"/>
        <v/>
      </c>
    </row>
    <row r="29" spans="1:23" x14ac:dyDescent="0.25">
      <c r="B29" t="str">
        <f t="shared" si="4"/>
        <v/>
      </c>
      <c r="G29" t="str">
        <f t="shared" si="2"/>
        <v/>
      </c>
      <c r="H29" t="str">
        <f t="shared" si="1"/>
        <v/>
      </c>
    </row>
    <row r="30" spans="1:23" x14ac:dyDescent="0.25">
      <c r="B30" t="str">
        <f t="shared" si="4"/>
        <v/>
      </c>
      <c r="G30" t="str">
        <f t="shared" si="2"/>
        <v/>
      </c>
      <c r="H30" t="str">
        <f t="shared" si="1"/>
        <v/>
      </c>
    </row>
    <row r="31" spans="1:23" x14ac:dyDescent="0.25">
      <c r="B31" t="str">
        <f t="shared" si="4"/>
        <v/>
      </c>
      <c r="G31" t="str">
        <f t="shared" si="2"/>
        <v/>
      </c>
      <c r="H31" t="str">
        <f t="shared" si="1"/>
        <v/>
      </c>
    </row>
    <row r="32" spans="1:23" x14ac:dyDescent="0.25">
      <c r="B32" t="str">
        <f t="shared" si="4"/>
        <v/>
      </c>
      <c r="G32" t="str">
        <f t="shared" si="2"/>
        <v/>
      </c>
      <c r="H32" t="str">
        <f t="shared" si="1"/>
        <v/>
      </c>
    </row>
    <row r="33" spans="2:8" x14ac:dyDescent="0.25">
      <c r="B33" t="str">
        <f t="shared" si="4"/>
        <v/>
      </c>
      <c r="G33" t="str">
        <f t="shared" si="2"/>
        <v/>
      </c>
      <c r="H33" t="str">
        <f t="shared" si="1"/>
        <v/>
      </c>
    </row>
    <row r="34" spans="2:8" x14ac:dyDescent="0.25">
      <c r="B34" t="str">
        <f t="shared" si="4"/>
        <v/>
      </c>
      <c r="G34" t="str">
        <f t="shared" si="2"/>
        <v/>
      </c>
      <c r="H34" t="str">
        <f t="shared" ref="H34:H65" si="6">IF(ISBLANK(F34),"",IF(COUNTIF($G$2:$G$101,G34)=1,"Yes","No"))</f>
        <v/>
      </c>
    </row>
    <row r="35" spans="2:8" x14ac:dyDescent="0.25">
      <c r="B35" t="str">
        <f t="shared" si="4"/>
        <v/>
      </c>
      <c r="G35" t="str">
        <f t="shared" ref="G35:G66" si="7">_xlfn.TEXTJOIN("|",TRUE,_xlfn._xlws.SORT(D35:F35))</f>
        <v/>
      </c>
      <c r="H35" t="str">
        <f t="shared" si="6"/>
        <v/>
      </c>
    </row>
    <row r="36" spans="2:8" x14ac:dyDescent="0.25">
      <c r="B36" t="str">
        <f t="shared" si="4"/>
        <v/>
      </c>
      <c r="G36" t="str">
        <f t="shared" si="7"/>
        <v/>
      </c>
      <c r="H36" t="str">
        <f t="shared" si="6"/>
        <v/>
      </c>
    </row>
    <row r="37" spans="2:8" x14ac:dyDescent="0.25">
      <c r="B37" t="str">
        <f t="shared" si="4"/>
        <v/>
      </c>
      <c r="G37" t="str">
        <f t="shared" si="7"/>
        <v/>
      </c>
      <c r="H37" t="str">
        <f t="shared" si="6"/>
        <v/>
      </c>
    </row>
    <row r="38" spans="2:8" x14ac:dyDescent="0.25">
      <c r="B38" t="str">
        <f t="shared" si="4"/>
        <v/>
      </c>
      <c r="G38" t="str">
        <f t="shared" si="7"/>
        <v/>
      </c>
      <c r="H38" t="str">
        <f t="shared" si="6"/>
        <v/>
      </c>
    </row>
    <row r="39" spans="2:8" x14ac:dyDescent="0.25">
      <c r="B39" t="str">
        <f t="shared" si="4"/>
        <v/>
      </c>
      <c r="G39" t="str">
        <f t="shared" si="7"/>
        <v/>
      </c>
      <c r="H39" t="str">
        <f t="shared" si="6"/>
        <v/>
      </c>
    </row>
    <row r="40" spans="2:8" x14ac:dyDescent="0.25">
      <c r="B40" t="str">
        <f t="shared" si="4"/>
        <v/>
      </c>
      <c r="G40" t="str">
        <f t="shared" si="7"/>
        <v/>
      </c>
      <c r="H40" t="str">
        <f t="shared" si="6"/>
        <v/>
      </c>
    </row>
    <row r="41" spans="2:8" x14ac:dyDescent="0.25">
      <c r="B41" t="str">
        <f t="shared" si="4"/>
        <v/>
      </c>
      <c r="G41" t="str">
        <f t="shared" si="7"/>
        <v/>
      </c>
      <c r="H41" t="str">
        <f t="shared" si="6"/>
        <v/>
      </c>
    </row>
    <row r="42" spans="2:8" x14ac:dyDescent="0.25">
      <c r="B42" t="str">
        <f t="shared" si="4"/>
        <v/>
      </c>
      <c r="G42" t="str">
        <f t="shared" si="7"/>
        <v/>
      </c>
      <c r="H42" t="str">
        <f t="shared" si="6"/>
        <v/>
      </c>
    </row>
    <row r="43" spans="2:8" x14ac:dyDescent="0.25">
      <c r="B43" t="str">
        <f t="shared" si="4"/>
        <v/>
      </c>
      <c r="G43" t="str">
        <f t="shared" si="7"/>
        <v/>
      </c>
      <c r="H43" t="str">
        <f t="shared" si="6"/>
        <v/>
      </c>
    </row>
    <row r="44" spans="2:8" x14ac:dyDescent="0.25">
      <c r="B44" t="str">
        <f t="shared" si="4"/>
        <v/>
      </c>
      <c r="G44" t="str">
        <f t="shared" si="7"/>
        <v/>
      </c>
      <c r="H44" t="str">
        <f t="shared" si="6"/>
        <v/>
      </c>
    </row>
    <row r="45" spans="2:8" x14ac:dyDescent="0.25">
      <c r="G45" t="str">
        <f t="shared" si="7"/>
        <v/>
      </c>
      <c r="H45" t="str">
        <f t="shared" si="6"/>
        <v/>
      </c>
    </row>
    <row r="46" spans="2:8" x14ac:dyDescent="0.25">
      <c r="G46" t="str">
        <f t="shared" si="7"/>
        <v/>
      </c>
      <c r="H46" t="str">
        <f t="shared" si="6"/>
        <v/>
      </c>
    </row>
    <row r="47" spans="2:8" x14ac:dyDescent="0.25">
      <c r="G47" t="str">
        <f t="shared" si="7"/>
        <v/>
      </c>
      <c r="H47" t="str">
        <f t="shared" si="6"/>
        <v/>
      </c>
    </row>
    <row r="48" spans="2:8" x14ac:dyDescent="0.25">
      <c r="G48" t="str">
        <f t="shared" si="7"/>
        <v/>
      </c>
      <c r="H48" t="str">
        <f t="shared" si="6"/>
        <v/>
      </c>
    </row>
    <row r="49" spans="7:8" x14ac:dyDescent="0.25">
      <c r="G49" t="str">
        <f t="shared" si="7"/>
        <v/>
      </c>
      <c r="H49" t="str">
        <f t="shared" si="6"/>
        <v/>
      </c>
    </row>
    <row r="50" spans="7:8" x14ac:dyDescent="0.25">
      <c r="G50" t="str">
        <f t="shared" si="7"/>
        <v/>
      </c>
      <c r="H50" t="str">
        <f t="shared" si="6"/>
        <v/>
      </c>
    </row>
    <row r="51" spans="7:8" x14ac:dyDescent="0.25">
      <c r="G51" t="str">
        <f t="shared" si="7"/>
        <v/>
      </c>
      <c r="H51" t="str">
        <f t="shared" si="6"/>
        <v/>
      </c>
    </row>
    <row r="52" spans="7:8" x14ac:dyDescent="0.25">
      <c r="G52" t="str">
        <f t="shared" si="7"/>
        <v/>
      </c>
      <c r="H52" t="str">
        <f t="shared" si="6"/>
        <v/>
      </c>
    </row>
    <row r="53" spans="7:8" x14ac:dyDescent="0.25">
      <c r="G53" t="str">
        <f t="shared" si="7"/>
        <v/>
      </c>
      <c r="H53" t="str">
        <f t="shared" si="6"/>
        <v/>
      </c>
    </row>
    <row r="54" spans="7:8" x14ac:dyDescent="0.25">
      <c r="G54" t="str">
        <f t="shared" si="7"/>
        <v/>
      </c>
      <c r="H54" t="str">
        <f t="shared" si="6"/>
        <v/>
      </c>
    </row>
    <row r="55" spans="7:8" x14ac:dyDescent="0.25">
      <c r="G55" t="str">
        <f t="shared" si="7"/>
        <v/>
      </c>
      <c r="H55" t="str">
        <f t="shared" si="6"/>
        <v/>
      </c>
    </row>
    <row r="56" spans="7:8" x14ac:dyDescent="0.25">
      <c r="G56" t="str">
        <f t="shared" si="7"/>
        <v/>
      </c>
      <c r="H56" t="str">
        <f t="shared" si="6"/>
        <v/>
      </c>
    </row>
    <row r="57" spans="7:8" x14ac:dyDescent="0.25">
      <c r="G57" t="str">
        <f t="shared" si="7"/>
        <v/>
      </c>
      <c r="H57" t="str">
        <f t="shared" si="6"/>
        <v/>
      </c>
    </row>
    <row r="58" spans="7:8" x14ac:dyDescent="0.25">
      <c r="G58" t="str">
        <f t="shared" si="7"/>
        <v/>
      </c>
      <c r="H58" t="str">
        <f t="shared" si="6"/>
        <v/>
      </c>
    </row>
    <row r="59" spans="7:8" x14ac:dyDescent="0.25">
      <c r="G59" t="str">
        <f t="shared" si="7"/>
        <v/>
      </c>
      <c r="H59" t="str">
        <f t="shared" si="6"/>
        <v/>
      </c>
    </row>
    <row r="60" spans="7:8" x14ac:dyDescent="0.25">
      <c r="G60" t="str">
        <f t="shared" si="7"/>
        <v/>
      </c>
      <c r="H60" t="str">
        <f t="shared" si="6"/>
        <v/>
      </c>
    </row>
    <row r="61" spans="7:8" x14ac:dyDescent="0.25">
      <c r="G61" t="str">
        <f t="shared" si="7"/>
        <v/>
      </c>
      <c r="H61" t="str">
        <f t="shared" si="6"/>
        <v/>
      </c>
    </row>
    <row r="62" spans="7:8" x14ac:dyDescent="0.25">
      <c r="G62" t="str">
        <f t="shared" si="7"/>
        <v/>
      </c>
      <c r="H62" t="str">
        <f t="shared" si="6"/>
        <v/>
      </c>
    </row>
    <row r="63" spans="7:8" x14ac:dyDescent="0.25">
      <c r="G63" t="str">
        <f t="shared" si="7"/>
        <v/>
      </c>
      <c r="H63" t="str">
        <f t="shared" si="6"/>
        <v/>
      </c>
    </row>
    <row r="64" spans="7:8" x14ac:dyDescent="0.25">
      <c r="G64" t="str">
        <f t="shared" si="7"/>
        <v/>
      </c>
      <c r="H64" t="str">
        <f t="shared" si="6"/>
        <v/>
      </c>
    </row>
    <row r="65" spans="7:8" x14ac:dyDescent="0.25">
      <c r="G65" t="str">
        <f t="shared" si="7"/>
        <v/>
      </c>
      <c r="H65" t="str">
        <f t="shared" si="6"/>
        <v/>
      </c>
    </row>
    <row r="66" spans="7:8" x14ac:dyDescent="0.25">
      <c r="G66" t="str">
        <f t="shared" si="7"/>
        <v/>
      </c>
      <c r="H66" t="str">
        <f t="shared" ref="H66:H97" si="8">IF(ISBLANK(F66),"",IF(COUNTIF($G$2:$G$101,G66)=1,"Yes","No"))</f>
        <v/>
      </c>
    </row>
    <row r="67" spans="7:8" x14ac:dyDescent="0.25">
      <c r="G67" t="str">
        <f t="shared" ref="G67:G98" si="9">_xlfn.TEXTJOIN("|",TRUE,_xlfn._xlws.SORT(D67:F67))</f>
        <v/>
      </c>
      <c r="H67" t="str">
        <f t="shared" si="8"/>
        <v/>
      </c>
    </row>
    <row r="68" spans="7:8" x14ac:dyDescent="0.25">
      <c r="G68" t="str">
        <f t="shared" si="9"/>
        <v/>
      </c>
      <c r="H68" t="str">
        <f t="shared" si="8"/>
        <v/>
      </c>
    </row>
    <row r="69" spans="7:8" x14ac:dyDescent="0.25">
      <c r="G69" t="str">
        <f t="shared" si="9"/>
        <v/>
      </c>
      <c r="H69" t="str">
        <f t="shared" si="8"/>
        <v/>
      </c>
    </row>
    <row r="70" spans="7:8" x14ac:dyDescent="0.25">
      <c r="G70" t="str">
        <f t="shared" si="9"/>
        <v/>
      </c>
      <c r="H70" t="str">
        <f t="shared" si="8"/>
        <v/>
      </c>
    </row>
    <row r="71" spans="7:8" x14ac:dyDescent="0.25">
      <c r="G71" t="str">
        <f t="shared" si="9"/>
        <v/>
      </c>
      <c r="H71" t="str">
        <f t="shared" si="8"/>
        <v/>
      </c>
    </row>
    <row r="72" spans="7:8" x14ac:dyDescent="0.25">
      <c r="G72" t="str">
        <f t="shared" si="9"/>
        <v/>
      </c>
      <c r="H72" t="str">
        <f t="shared" si="8"/>
        <v/>
      </c>
    </row>
    <row r="73" spans="7:8" x14ac:dyDescent="0.25">
      <c r="G73" t="str">
        <f t="shared" si="9"/>
        <v/>
      </c>
      <c r="H73" t="str">
        <f t="shared" si="8"/>
        <v/>
      </c>
    </row>
    <row r="74" spans="7:8" x14ac:dyDescent="0.25">
      <c r="G74" t="str">
        <f t="shared" si="9"/>
        <v/>
      </c>
      <c r="H74" t="str">
        <f t="shared" si="8"/>
        <v/>
      </c>
    </row>
    <row r="75" spans="7:8" x14ac:dyDescent="0.25">
      <c r="G75" t="str">
        <f t="shared" si="9"/>
        <v/>
      </c>
      <c r="H75" t="str">
        <f t="shared" si="8"/>
        <v/>
      </c>
    </row>
    <row r="76" spans="7:8" x14ac:dyDescent="0.25">
      <c r="G76" t="str">
        <f t="shared" si="9"/>
        <v/>
      </c>
      <c r="H76" t="str">
        <f t="shared" si="8"/>
        <v/>
      </c>
    </row>
    <row r="77" spans="7:8" x14ac:dyDescent="0.25">
      <c r="G77" t="str">
        <f t="shared" si="9"/>
        <v/>
      </c>
      <c r="H77" t="str">
        <f t="shared" si="8"/>
        <v/>
      </c>
    </row>
    <row r="78" spans="7:8" x14ac:dyDescent="0.25">
      <c r="G78" t="str">
        <f t="shared" si="9"/>
        <v/>
      </c>
      <c r="H78" t="str">
        <f t="shared" si="8"/>
        <v/>
      </c>
    </row>
    <row r="79" spans="7:8" x14ac:dyDescent="0.25">
      <c r="G79" t="str">
        <f t="shared" si="9"/>
        <v/>
      </c>
      <c r="H79" t="str">
        <f t="shared" si="8"/>
        <v/>
      </c>
    </row>
    <row r="80" spans="7:8" x14ac:dyDescent="0.25">
      <c r="G80" t="str">
        <f t="shared" si="9"/>
        <v/>
      </c>
      <c r="H80" t="str">
        <f t="shared" si="8"/>
        <v/>
      </c>
    </row>
    <row r="81" spans="7:8" x14ac:dyDescent="0.25">
      <c r="G81" t="str">
        <f t="shared" si="9"/>
        <v/>
      </c>
      <c r="H81" t="str">
        <f t="shared" si="8"/>
        <v/>
      </c>
    </row>
    <row r="82" spans="7:8" x14ac:dyDescent="0.25">
      <c r="G82" t="str">
        <f t="shared" si="9"/>
        <v/>
      </c>
      <c r="H82" t="str">
        <f t="shared" si="8"/>
        <v/>
      </c>
    </row>
    <row r="83" spans="7:8" x14ac:dyDescent="0.25">
      <c r="G83" t="str">
        <f t="shared" si="9"/>
        <v/>
      </c>
      <c r="H83" t="str">
        <f t="shared" si="8"/>
        <v/>
      </c>
    </row>
    <row r="84" spans="7:8" x14ac:dyDescent="0.25">
      <c r="G84" t="str">
        <f t="shared" si="9"/>
        <v/>
      </c>
      <c r="H84" t="str">
        <f t="shared" si="8"/>
        <v/>
      </c>
    </row>
    <row r="85" spans="7:8" x14ac:dyDescent="0.25">
      <c r="G85" t="str">
        <f t="shared" si="9"/>
        <v/>
      </c>
      <c r="H85" t="str">
        <f t="shared" si="8"/>
        <v/>
      </c>
    </row>
    <row r="86" spans="7:8" x14ac:dyDescent="0.25">
      <c r="G86" t="str">
        <f t="shared" si="9"/>
        <v/>
      </c>
      <c r="H86" t="str">
        <f t="shared" si="8"/>
        <v/>
      </c>
    </row>
    <row r="87" spans="7:8" x14ac:dyDescent="0.25">
      <c r="G87" t="str">
        <f t="shared" si="9"/>
        <v/>
      </c>
      <c r="H87" t="str">
        <f t="shared" si="8"/>
        <v/>
      </c>
    </row>
    <row r="88" spans="7:8" x14ac:dyDescent="0.25">
      <c r="G88" t="str">
        <f t="shared" si="9"/>
        <v/>
      </c>
      <c r="H88" t="str">
        <f t="shared" si="8"/>
        <v/>
      </c>
    </row>
    <row r="89" spans="7:8" x14ac:dyDescent="0.25">
      <c r="G89" t="str">
        <f t="shared" si="9"/>
        <v/>
      </c>
      <c r="H89" t="str">
        <f t="shared" si="8"/>
        <v/>
      </c>
    </row>
    <row r="90" spans="7:8" x14ac:dyDescent="0.25">
      <c r="G90" t="str">
        <f t="shared" si="9"/>
        <v/>
      </c>
      <c r="H90" t="str">
        <f t="shared" si="8"/>
        <v/>
      </c>
    </row>
    <row r="91" spans="7:8" x14ac:dyDescent="0.25">
      <c r="G91" t="str">
        <f t="shared" si="9"/>
        <v/>
      </c>
      <c r="H91" t="str">
        <f t="shared" si="8"/>
        <v/>
      </c>
    </row>
    <row r="92" spans="7:8" x14ac:dyDescent="0.25">
      <c r="G92" t="str">
        <f t="shared" si="9"/>
        <v/>
      </c>
      <c r="H92" t="str">
        <f t="shared" si="8"/>
        <v/>
      </c>
    </row>
    <row r="93" spans="7:8" x14ac:dyDescent="0.25">
      <c r="G93" t="str">
        <f t="shared" si="9"/>
        <v/>
      </c>
      <c r="H93" t="str">
        <f t="shared" si="8"/>
        <v/>
      </c>
    </row>
    <row r="94" spans="7:8" x14ac:dyDescent="0.25">
      <c r="G94" t="str">
        <f t="shared" si="9"/>
        <v/>
      </c>
      <c r="H94" t="str">
        <f t="shared" si="8"/>
        <v/>
      </c>
    </row>
    <row r="95" spans="7:8" x14ac:dyDescent="0.25">
      <c r="G95" t="str">
        <f t="shared" si="9"/>
        <v/>
      </c>
      <c r="H95" t="str">
        <f t="shared" si="8"/>
        <v/>
      </c>
    </row>
    <row r="96" spans="7:8" x14ac:dyDescent="0.25">
      <c r="G96" t="str">
        <f t="shared" si="9"/>
        <v/>
      </c>
      <c r="H96" t="str">
        <f t="shared" si="8"/>
        <v/>
      </c>
    </row>
    <row r="97" spans="7:8" x14ac:dyDescent="0.25">
      <c r="G97" t="str">
        <f t="shared" si="9"/>
        <v/>
      </c>
      <c r="H97" t="str">
        <f t="shared" si="8"/>
        <v/>
      </c>
    </row>
    <row r="98" spans="7:8" x14ac:dyDescent="0.25">
      <c r="G98" t="str">
        <f t="shared" si="9"/>
        <v/>
      </c>
      <c r="H98" t="str">
        <f t="shared" ref="H98" si="10">IF(ISBLANK(F98),"",IF(COUNTIF($G$2:$G$101,G98)=1,"Yes","No"))</f>
        <v/>
      </c>
    </row>
  </sheetData>
  <autoFilter ref="A1:W44" xr:uid="{00000000-0009-0000-0000-000000000000}"/>
  <conditionalFormatting sqref="H1 D1:F111 D112:H1048576">
    <cfRule type="cellIs" dxfId="12" priority="1" operator="equal">
      <formula>"Earth"</formula>
    </cfRule>
    <cfRule type="cellIs" dxfId="11" priority="2" operator="equal">
      <formula>"Water"</formula>
    </cfRule>
    <cfRule type="cellIs" dxfId="10" priority="3" operator="equal">
      <formula>"Fire"</formula>
    </cfRule>
    <cfRule type="cellIs" dxfId="9" priority="4" operator="equal">
      <formula>"Air"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0A9751B-2881-41BA-BA50-B91B360FAA20}">
          <x14:formula1>
            <xm:f>input!$C$2:$F$2</xm:f>
          </x14:formula1>
          <xm:sqref>D2:F20</xm:sqref>
        </x14:dataValidation>
        <x14:dataValidation type="list" allowBlank="1" showInputMessage="1" showErrorMessage="1" xr:uid="{060E7938-7B45-497A-BD35-A33D37962AA7}">
          <x14:formula1>
            <xm:f>motion!$A$2:$A$33</xm:f>
          </x14:formula1>
          <xm:sqref>I2:I43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59999389629810485"/>
  </sheetPr>
  <dimension ref="A1:I13"/>
  <sheetViews>
    <sheetView workbookViewId="0">
      <selection activeCell="C6" sqref="C6"/>
    </sheetView>
  </sheetViews>
  <sheetFormatPr defaultRowHeight="15" x14ac:dyDescent="0.25"/>
  <cols>
    <col min="3" max="3" width="49.85546875" bestFit="1" customWidth="1"/>
    <col min="5" max="5" width="13.5703125" customWidth="1"/>
    <col min="6" max="6" width="16.85546875" customWidth="1"/>
    <col min="7" max="7" width="12.85546875" customWidth="1"/>
    <col min="8" max="8" width="15.7109375" customWidth="1"/>
    <col min="9" max="9" width="38" customWidth="1"/>
  </cols>
  <sheetData>
    <row r="1" spans="1:9" x14ac:dyDescent="0.25">
      <c r="A1" s="4" t="s">
        <v>0</v>
      </c>
      <c r="B1" s="4" t="s">
        <v>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20</v>
      </c>
    </row>
    <row r="2" spans="1:9" x14ac:dyDescent="0.25">
      <c r="A2" t="s">
        <v>48</v>
      </c>
      <c r="B2" t="str">
        <f t="shared" ref="B2:B13" si="0">PROPER(A2)</f>
        <v>Coal</v>
      </c>
      <c r="C2" t="s">
        <v>426</v>
      </c>
      <c r="D2" t="s">
        <v>28</v>
      </c>
      <c r="E2" t="s">
        <v>16</v>
      </c>
      <c r="F2">
        <v>1</v>
      </c>
      <c r="G2">
        <v>2</v>
      </c>
      <c r="H2">
        <v>3</v>
      </c>
      <c r="I2" t="str">
        <f t="shared" ref="I2:I13" si="1">"res://items/glyphs/"&amp;A2&amp;"_glyph.png"</f>
        <v>res://items/glyphs/coal_glyph.png</v>
      </c>
    </row>
    <row r="3" spans="1:9" x14ac:dyDescent="0.25">
      <c r="A3" t="s">
        <v>49</v>
      </c>
      <c r="B3" t="str">
        <f t="shared" si="0"/>
        <v>Fury</v>
      </c>
      <c r="C3" t="s">
        <v>432</v>
      </c>
      <c r="D3" t="s">
        <v>28</v>
      </c>
      <c r="E3" t="s">
        <v>8</v>
      </c>
      <c r="F3">
        <v>5</v>
      </c>
      <c r="G3">
        <v>10</v>
      </c>
      <c r="H3">
        <v>15</v>
      </c>
      <c r="I3" t="str">
        <f t="shared" si="1"/>
        <v>res://items/glyphs/fury_glyph.png</v>
      </c>
    </row>
    <row r="4" spans="1:9" x14ac:dyDescent="0.25">
      <c r="A4" t="s">
        <v>50</v>
      </c>
      <c r="B4" t="str">
        <f t="shared" si="0"/>
        <v>Blast</v>
      </c>
      <c r="C4" t="s">
        <v>424</v>
      </c>
      <c r="D4" t="s">
        <v>28</v>
      </c>
      <c r="E4" t="s">
        <v>14</v>
      </c>
      <c r="F4" s="6">
        <v>0.05</v>
      </c>
      <c r="G4" s="6">
        <v>0.1</v>
      </c>
      <c r="H4" s="6">
        <v>0.15</v>
      </c>
      <c r="I4" t="str">
        <f t="shared" si="1"/>
        <v>res://items/glyphs/blast_glyph.png</v>
      </c>
    </row>
    <row r="5" spans="1:9" x14ac:dyDescent="0.25">
      <c r="A5" t="s">
        <v>51</v>
      </c>
      <c r="B5" t="str">
        <f t="shared" si="0"/>
        <v>Rime</v>
      </c>
      <c r="C5" t="s">
        <v>425</v>
      </c>
      <c r="D5" t="s">
        <v>34</v>
      </c>
      <c r="E5" t="s">
        <v>17</v>
      </c>
      <c r="F5">
        <v>1</v>
      </c>
      <c r="G5">
        <v>2</v>
      </c>
      <c r="H5">
        <v>3</v>
      </c>
      <c r="I5" t="str">
        <f t="shared" si="1"/>
        <v>res://items/glyphs/rime_glyph.png</v>
      </c>
    </row>
    <row r="6" spans="1:9" x14ac:dyDescent="0.25">
      <c r="A6" t="s">
        <v>52</v>
      </c>
      <c r="B6" t="str">
        <f t="shared" si="0"/>
        <v>Sooth</v>
      </c>
      <c r="C6" t="s">
        <v>427</v>
      </c>
      <c r="D6" t="s">
        <v>34</v>
      </c>
      <c r="E6" t="s">
        <v>9</v>
      </c>
      <c r="F6">
        <v>-10</v>
      </c>
      <c r="G6">
        <v>-20</v>
      </c>
      <c r="H6">
        <v>-30</v>
      </c>
      <c r="I6" t="str">
        <f t="shared" si="1"/>
        <v>res://items/glyphs/sooth_glyph.png</v>
      </c>
    </row>
    <row r="7" spans="1:9" x14ac:dyDescent="0.25">
      <c r="A7" t="s">
        <v>53</v>
      </c>
      <c r="B7" t="str">
        <f t="shared" si="0"/>
        <v>Bounty</v>
      </c>
      <c r="C7" t="s">
        <v>428</v>
      </c>
      <c r="D7" t="s">
        <v>34</v>
      </c>
      <c r="E7" t="s">
        <v>15</v>
      </c>
      <c r="F7" s="8">
        <v>0.01</v>
      </c>
      <c r="G7" s="8">
        <v>0.02</v>
      </c>
      <c r="H7" s="8">
        <v>0.03</v>
      </c>
      <c r="I7" t="str">
        <f t="shared" si="1"/>
        <v>res://items/glyphs/bounty_glyph.png</v>
      </c>
    </row>
    <row r="8" spans="1:9" x14ac:dyDescent="0.25">
      <c r="A8" t="s">
        <v>54</v>
      </c>
      <c r="B8" t="str">
        <f t="shared" si="0"/>
        <v>Static</v>
      </c>
      <c r="C8" t="s">
        <v>429</v>
      </c>
      <c r="D8" t="s">
        <v>27</v>
      </c>
      <c r="E8" t="s">
        <v>18</v>
      </c>
      <c r="F8">
        <v>1</v>
      </c>
      <c r="G8">
        <v>2</v>
      </c>
      <c r="H8">
        <v>3</v>
      </c>
      <c r="I8" t="str">
        <f t="shared" si="1"/>
        <v>res://items/glyphs/static_glyph.png</v>
      </c>
    </row>
    <row r="9" spans="1:9" x14ac:dyDescent="0.25">
      <c r="A9" t="s">
        <v>55</v>
      </c>
      <c r="B9" t="str">
        <f t="shared" si="0"/>
        <v>Shear</v>
      </c>
      <c r="C9" t="s">
        <v>435</v>
      </c>
      <c r="D9" t="s">
        <v>27</v>
      </c>
      <c r="E9" t="s">
        <v>10</v>
      </c>
      <c r="F9" s="6">
        <v>0.01</v>
      </c>
      <c r="G9" s="6">
        <v>0.02</v>
      </c>
      <c r="H9" s="6">
        <v>0.03</v>
      </c>
      <c r="I9" t="str">
        <f t="shared" si="1"/>
        <v>res://items/glyphs/shear_glyph.png</v>
      </c>
    </row>
    <row r="10" spans="1:9" x14ac:dyDescent="0.25">
      <c r="A10" t="s">
        <v>56</v>
      </c>
      <c r="B10" t="str">
        <f t="shared" si="0"/>
        <v>Drag</v>
      </c>
      <c r="C10" t="s">
        <v>430</v>
      </c>
      <c r="D10" t="s">
        <v>27</v>
      </c>
      <c r="E10" t="s">
        <v>12</v>
      </c>
      <c r="F10">
        <v>-10</v>
      </c>
      <c r="G10">
        <v>-20</v>
      </c>
      <c r="H10">
        <v>-30</v>
      </c>
      <c r="I10" t="str">
        <f t="shared" si="1"/>
        <v>res://items/glyphs/drag_glyph.png</v>
      </c>
    </row>
    <row r="11" spans="1:9" x14ac:dyDescent="0.25">
      <c r="A11" t="s">
        <v>284</v>
      </c>
      <c r="B11" t="str">
        <f t="shared" si="0"/>
        <v>Spore</v>
      </c>
      <c r="C11" t="s">
        <v>431</v>
      </c>
      <c r="D11" t="s">
        <v>30</v>
      </c>
      <c r="E11" t="s">
        <v>57</v>
      </c>
      <c r="F11">
        <v>1</v>
      </c>
      <c r="G11">
        <v>2</v>
      </c>
      <c r="H11">
        <v>3</v>
      </c>
      <c r="I11" t="str">
        <f t="shared" si="1"/>
        <v>res://items/glyphs/spore_glyph.png</v>
      </c>
    </row>
    <row r="12" spans="1:9" x14ac:dyDescent="0.25">
      <c r="A12" t="s">
        <v>58</v>
      </c>
      <c r="B12" t="str">
        <f t="shared" si="0"/>
        <v>Dense</v>
      </c>
      <c r="C12" t="s">
        <v>433</v>
      </c>
      <c r="D12" t="s">
        <v>30</v>
      </c>
      <c r="E12" t="s">
        <v>13</v>
      </c>
      <c r="F12">
        <v>1</v>
      </c>
      <c r="G12">
        <v>2</v>
      </c>
      <c r="H12">
        <v>3</v>
      </c>
      <c r="I12" t="str">
        <f t="shared" si="1"/>
        <v>res://items/glyphs/dense_glyph.png</v>
      </c>
    </row>
    <row r="13" spans="1:9" x14ac:dyDescent="0.25">
      <c r="A13" t="s">
        <v>59</v>
      </c>
      <c r="B13" t="str">
        <f t="shared" si="0"/>
        <v>Crush</v>
      </c>
      <c r="C13" t="s">
        <v>434</v>
      </c>
      <c r="D13" t="s">
        <v>30</v>
      </c>
      <c r="E13" t="s">
        <v>11</v>
      </c>
      <c r="F13" s="6">
        <v>0.1</v>
      </c>
      <c r="G13" s="6">
        <v>0.2</v>
      </c>
      <c r="H13" s="6">
        <v>0.3</v>
      </c>
      <c r="I13" t="str">
        <f t="shared" si="1"/>
        <v>res://items/glyphs/crush_glyph.png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78474-C635-4D82-BABA-35BE76111A87}">
  <sheetPr>
    <tabColor theme="6" tint="0.59999389629810485"/>
  </sheetPr>
  <dimension ref="A1:C13"/>
  <sheetViews>
    <sheetView workbookViewId="0">
      <selection activeCell="C6" sqref="C6"/>
    </sheetView>
  </sheetViews>
  <sheetFormatPr defaultRowHeight="15" x14ac:dyDescent="0.25"/>
  <cols>
    <col min="1" max="1" width="13.28515625" customWidth="1"/>
    <col min="2" max="2" width="19.7109375" customWidth="1"/>
    <col min="3" max="3" width="110.140625" bestFit="1" customWidth="1"/>
  </cols>
  <sheetData>
    <row r="1" spans="1:3" x14ac:dyDescent="0.25">
      <c r="A1" s="3" t="s">
        <v>0</v>
      </c>
      <c r="B1" s="3" t="s">
        <v>1</v>
      </c>
      <c r="C1" s="3" t="s">
        <v>42</v>
      </c>
    </row>
    <row r="2" spans="1:3" x14ac:dyDescent="0.25">
      <c r="A2" t="s">
        <v>8</v>
      </c>
      <c r="B2" t="str">
        <f t="shared" ref="B2:B13" si="0">PROPER(SUBSTITUTE(A2,"_"," "))</f>
        <v>Damage</v>
      </c>
      <c r="C2" t="s">
        <v>270</v>
      </c>
    </row>
    <row r="3" spans="1:3" x14ac:dyDescent="0.25">
      <c r="A3" t="s">
        <v>14</v>
      </c>
      <c r="B3" t="str">
        <f t="shared" si="0"/>
        <v>Splash</v>
      </c>
      <c r="C3" t="s">
        <v>262</v>
      </c>
    </row>
    <row r="4" spans="1:3" x14ac:dyDescent="0.25">
      <c r="A4" t="s">
        <v>16</v>
      </c>
      <c r="B4" t="str">
        <f t="shared" si="0"/>
        <v>Burn</v>
      </c>
      <c r="C4" t="s">
        <v>269</v>
      </c>
    </row>
    <row r="5" spans="1:3" x14ac:dyDescent="0.25">
      <c r="A5" t="s">
        <v>9</v>
      </c>
      <c r="B5" t="str">
        <f t="shared" si="0"/>
        <v>Self Damage</v>
      </c>
      <c r="C5" t="s">
        <v>271</v>
      </c>
    </row>
    <row r="6" spans="1:3" x14ac:dyDescent="0.25">
      <c r="A6" t="s">
        <v>15</v>
      </c>
      <c r="B6" t="str">
        <f t="shared" si="0"/>
        <v>Glyph Drop</v>
      </c>
      <c r="C6" t="s">
        <v>265</v>
      </c>
    </row>
    <row r="7" spans="1:3" x14ac:dyDescent="0.25">
      <c r="A7" t="s">
        <v>17</v>
      </c>
      <c r="B7" t="str">
        <f t="shared" si="0"/>
        <v>Chill</v>
      </c>
      <c r="C7" t="s">
        <v>267</v>
      </c>
    </row>
    <row r="8" spans="1:3" x14ac:dyDescent="0.25">
      <c r="A8" t="s">
        <v>10</v>
      </c>
      <c r="B8" t="str">
        <f t="shared" si="0"/>
        <v>Crit Chance</v>
      </c>
      <c r="C8" t="s">
        <v>263</v>
      </c>
    </row>
    <row r="9" spans="1:3" x14ac:dyDescent="0.25">
      <c r="A9" t="s">
        <v>12</v>
      </c>
      <c r="B9" t="str">
        <f t="shared" si="0"/>
        <v>Speed</v>
      </c>
      <c r="C9" t="s">
        <v>261</v>
      </c>
    </row>
    <row r="10" spans="1:3" x14ac:dyDescent="0.25">
      <c r="A10" t="s">
        <v>18</v>
      </c>
      <c r="B10" t="str">
        <f t="shared" si="0"/>
        <v>Shock</v>
      </c>
      <c r="C10" t="s">
        <v>268</v>
      </c>
    </row>
    <row r="11" spans="1:3" x14ac:dyDescent="0.25">
      <c r="A11" t="s">
        <v>13</v>
      </c>
      <c r="B11" t="str">
        <f t="shared" si="0"/>
        <v>Weight</v>
      </c>
      <c r="C11" t="s">
        <v>266</v>
      </c>
    </row>
    <row r="12" spans="1:3" x14ac:dyDescent="0.25">
      <c r="A12" t="s">
        <v>11</v>
      </c>
      <c r="B12" t="str">
        <f t="shared" si="0"/>
        <v>Crit Damage</v>
      </c>
      <c r="C12" t="s">
        <v>264</v>
      </c>
    </row>
    <row r="13" spans="1:3" x14ac:dyDescent="0.25">
      <c r="A13" t="s">
        <v>57</v>
      </c>
      <c r="B13" t="str">
        <f t="shared" si="0"/>
        <v>Blight</v>
      </c>
      <c r="C13" t="s">
        <v>283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0.59999389629810485"/>
  </sheetPr>
  <dimension ref="A1:I107"/>
  <sheetViews>
    <sheetView workbookViewId="0">
      <selection activeCell="A12" sqref="A12:XFD12"/>
    </sheetView>
  </sheetViews>
  <sheetFormatPr defaultRowHeight="15" x14ac:dyDescent="0.25"/>
  <cols>
    <col min="1" max="1" width="12.7109375" customWidth="1"/>
    <col min="2" max="2" width="13.7109375" customWidth="1"/>
    <col min="3" max="3" width="9.7109375" bestFit="1" customWidth="1"/>
    <col min="4" max="4" width="110.42578125" customWidth="1"/>
    <col min="5" max="7" width="10.5703125" bestFit="1" customWidth="1"/>
    <col min="8" max="8" width="13" hidden="1" customWidth="1"/>
  </cols>
  <sheetData>
    <row r="1" spans="1:9" x14ac:dyDescent="0.25">
      <c r="A1" s="4" t="s">
        <v>0</v>
      </c>
      <c r="B1" s="4" t="s">
        <v>1</v>
      </c>
      <c r="C1" s="4" t="s">
        <v>60</v>
      </c>
      <c r="D1" s="4" t="s">
        <v>42</v>
      </c>
      <c r="E1" s="4" t="s">
        <v>3</v>
      </c>
      <c r="F1" s="4" t="s">
        <v>4</v>
      </c>
      <c r="G1" s="4" t="s">
        <v>5</v>
      </c>
      <c r="I1" s="4" t="s">
        <v>21</v>
      </c>
    </row>
    <row r="2" spans="1:9" x14ac:dyDescent="0.25">
      <c r="A2" t="s">
        <v>61</v>
      </c>
      <c r="B2" t="str">
        <f t="shared" ref="B2:B27" si="0">PROPER(SUBSTITUTE(A2,"_"," "))</f>
        <v>Haunt</v>
      </c>
      <c r="C2" t="s">
        <v>31</v>
      </c>
      <c r="D2" t="s">
        <v>62</v>
      </c>
      <c r="E2" t="s">
        <v>27</v>
      </c>
      <c r="F2" t="s">
        <v>27</v>
      </c>
      <c r="G2" t="s">
        <v>34</v>
      </c>
      <c r="H2" t="str">
        <f t="shared" ref="H2:H34" si="1">_xlfn.TEXTJOIN("|",TRUE,_xlfn._xlws.SORT(E2:G2))</f>
        <v>Air|Air|Water</v>
      </c>
      <c r="I2" t="b">
        <v>0</v>
      </c>
    </row>
    <row r="3" spans="1:9" x14ac:dyDescent="0.25">
      <c r="A3" t="s">
        <v>63</v>
      </c>
      <c r="B3" t="str">
        <f t="shared" si="0"/>
        <v>Possesion</v>
      </c>
      <c r="C3" t="s">
        <v>31</v>
      </c>
      <c r="D3" t="s">
        <v>64</v>
      </c>
      <c r="E3" t="s">
        <v>28</v>
      </c>
      <c r="F3" t="s">
        <v>28</v>
      </c>
      <c r="G3" t="s">
        <v>27</v>
      </c>
      <c r="H3" t="str">
        <f t="shared" si="1"/>
        <v>Fire|Fire|Air</v>
      </c>
      <c r="I3" t="b">
        <v>0</v>
      </c>
    </row>
    <row r="4" spans="1:9" x14ac:dyDescent="0.25">
      <c r="A4" t="s">
        <v>65</v>
      </c>
      <c r="B4" t="str">
        <f t="shared" si="0"/>
        <v>Trail</v>
      </c>
      <c r="C4" t="s">
        <v>32</v>
      </c>
      <c r="D4" t="s">
        <v>66</v>
      </c>
      <c r="E4" t="s">
        <v>28</v>
      </c>
      <c r="F4" t="s">
        <v>28</v>
      </c>
      <c r="G4" t="s">
        <v>30</v>
      </c>
      <c r="H4" t="str">
        <f t="shared" si="1"/>
        <v>Fire|Fire|Earth</v>
      </c>
      <c r="I4" t="b">
        <v>0</v>
      </c>
    </row>
    <row r="5" spans="1:9" x14ac:dyDescent="0.25">
      <c r="A5" t="s">
        <v>67</v>
      </c>
      <c r="B5" t="str">
        <f t="shared" si="0"/>
        <v>Kindling</v>
      </c>
      <c r="C5" t="s">
        <v>32</v>
      </c>
      <c r="D5" t="s">
        <v>68</v>
      </c>
      <c r="E5" t="s">
        <v>27</v>
      </c>
      <c r="F5" t="s">
        <v>27</v>
      </c>
      <c r="G5" t="s">
        <v>28</v>
      </c>
      <c r="H5" t="str">
        <f t="shared" si="1"/>
        <v>Air|Air|Fire</v>
      </c>
      <c r="I5" t="b">
        <v>0</v>
      </c>
    </row>
    <row r="6" spans="1:9" x14ac:dyDescent="0.25">
      <c r="A6" t="s">
        <v>69</v>
      </c>
      <c r="B6" t="str">
        <f t="shared" si="0"/>
        <v>Spark</v>
      </c>
      <c r="C6" t="s">
        <v>32</v>
      </c>
      <c r="D6" t="s">
        <v>70</v>
      </c>
      <c r="E6" t="s">
        <v>28</v>
      </c>
      <c r="F6" t="s">
        <v>28</v>
      </c>
      <c r="G6" t="s">
        <v>28</v>
      </c>
      <c r="H6" t="str">
        <f t="shared" si="1"/>
        <v>Fire|Fire|Fire</v>
      </c>
      <c r="I6" t="b">
        <v>0</v>
      </c>
    </row>
    <row r="7" spans="1:9" x14ac:dyDescent="0.25">
      <c r="A7" t="s">
        <v>71</v>
      </c>
      <c r="B7" t="str">
        <f t="shared" si="0"/>
        <v>Chain</v>
      </c>
      <c r="C7" t="s">
        <v>25</v>
      </c>
      <c r="D7" t="s">
        <v>72</v>
      </c>
      <c r="E7" t="s">
        <v>34</v>
      </c>
      <c r="F7" t="s">
        <v>27</v>
      </c>
      <c r="G7" t="s">
        <v>28</v>
      </c>
      <c r="H7" t="str">
        <f t="shared" si="1"/>
        <v>Water|Air|Fire</v>
      </c>
      <c r="I7" t="b">
        <v>0</v>
      </c>
    </row>
    <row r="8" spans="1:9" x14ac:dyDescent="0.25">
      <c r="A8" t="s">
        <v>73</v>
      </c>
      <c r="B8" t="str">
        <f t="shared" si="0"/>
        <v>Conductor</v>
      </c>
      <c r="C8" t="s">
        <v>25</v>
      </c>
      <c r="D8" t="s">
        <v>74</v>
      </c>
      <c r="E8" t="s">
        <v>27</v>
      </c>
      <c r="F8" t="s">
        <v>34</v>
      </c>
      <c r="G8" t="s">
        <v>34</v>
      </c>
      <c r="H8" t="str">
        <f t="shared" si="1"/>
        <v>Air|Water|Water</v>
      </c>
      <c r="I8" t="b">
        <v>0</v>
      </c>
    </row>
    <row r="9" spans="1:9" x14ac:dyDescent="0.25">
      <c r="A9" t="s">
        <v>75</v>
      </c>
      <c r="B9" t="str">
        <f t="shared" si="0"/>
        <v>Reach</v>
      </c>
      <c r="C9" t="s">
        <v>25</v>
      </c>
      <c r="D9" t="s">
        <v>76</v>
      </c>
      <c r="E9" t="s">
        <v>27</v>
      </c>
      <c r="F9" t="s">
        <v>30</v>
      </c>
      <c r="G9" t="s">
        <v>30</v>
      </c>
      <c r="H9" t="str">
        <f t="shared" si="1"/>
        <v>Air|Earth|Earth</v>
      </c>
      <c r="I9" t="b">
        <v>0</v>
      </c>
    </row>
    <row r="10" spans="1:9" x14ac:dyDescent="0.25">
      <c r="A10" t="s">
        <v>77</v>
      </c>
      <c r="B10" t="str">
        <f t="shared" si="0"/>
        <v>Splinter</v>
      </c>
      <c r="C10" t="s">
        <v>33</v>
      </c>
      <c r="D10" t="s">
        <v>78</v>
      </c>
      <c r="H10" t="str">
        <f t="shared" si="1"/>
        <v/>
      </c>
      <c r="I10" t="b">
        <v>0</v>
      </c>
    </row>
    <row r="11" spans="1:9" x14ac:dyDescent="0.25">
      <c r="A11" t="s">
        <v>79</v>
      </c>
      <c r="B11" t="str">
        <f t="shared" si="0"/>
        <v>Lethal</v>
      </c>
      <c r="C11" t="s">
        <v>33</v>
      </c>
      <c r="D11" t="s">
        <v>80</v>
      </c>
      <c r="H11" t="str">
        <f t="shared" si="1"/>
        <v/>
      </c>
      <c r="I11" t="b">
        <v>0</v>
      </c>
    </row>
    <row r="12" spans="1:9" x14ac:dyDescent="0.25">
      <c r="A12" t="s">
        <v>81</v>
      </c>
      <c r="B12" t="str">
        <f t="shared" si="0"/>
        <v>Shatter</v>
      </c>
      <c r="C12" t="s">
        <v>33</v>
      </c>
      <c r="D12" t="s">
        <v>291</v>
      </c>
      <c r="H12" t="str">
        <f t="shared" si="1"/>
        <v/>
      </c>
      <c r="I12" t="b">
        <v>0</v>
      </c>
    </row>
    <row r="13" spans="1:9" x14ac:dyDescent="0.25">
      <c r="A13" t="s">
        <v>82</v>
      </c>
      <c r="B13" t="str">
        <f t="shared" si="0"/>
        <v>Carrion</v>
      </c>
      <c r="C13" t="s">
        <v>29</v>
      </c>
      <c r="D13" t="s">
        <v>290</v>
      </c>
      <c r="H13" t="str">
        <f t="shared" si="1"/>
        <v/>
      </c>
      <c r="I13" t="b">
        <v>0</v>
      </c>
    </row>
    <row r="14" spans="1:9" x14ac:dyDescent="0.25">
      <c r="A14" t="s">
        <v>83</v>
      </c>
      <c r="B14" t="str">
        <f t="shared" si="0"/>
        <v>Outbreak</v>
      </c>
      <c r="C14" t="s">
        <v>29</v>
      </c>
      <c r="D14" t="s">
        <v>289</v>
      </c>
      <c r="H14" t="str">
        <f t="shared" si="1"/>
        <v/>
      </c>
      <c r="I14" t="b">
        <v>0</v>
      </c>
    </row>
    <row r="15" spans="1:9" x14ac:dyDescent="0.25">
      <c r="A15" t="s">
        <v>84</v>
      </c>
      <c r="B15" t="str">
        <f t="shared" si="0"/>
        <v>Virulence</v>
      </c>
      <c r="C15" t="s">
        <v>29</v>
      </c>
      <c r="D15" t="s">
        <v>288</v>
      </c>
      <c r="H15" t="str">
        <f t="shared" si="1"/>
        <v/>
      </c>
      <c r="I15" t="b">
        <v>0</v>
      </c>
    </row>
    <row r="16" spans="1:9" x14ac:dyDescent="0.25">
      <c r="A16" t="s">
        <v>273</v>
      </c>
      <c r="B16" t="str">
        <f t="shared" si="0"/>
        <v>Enchant</v>
      </c>
      <c r="C16" t="s">
        <v>35</v>
      </c>
      <c r="D16" t="s">
        <v>85</v>
      </c>
      <c r="E16" t="s">
        <v>34</v>
      </c>
      <c r="F16" t="s">
        <v>34</v>
      </c>
      <c r="G16" t="s">
        <v>27</v>
      </c>
      <c r="H16" t="str">
        <f t="shared" si="1"/>
        <v>Water|Water|Air</v>
      </c>
      <c r="I16" t="b">
        <v>0</v>
      </c>
    </row>
    <row r="17" spans="1:9" x14ac:dyDescent="0.25">
      <c r="A17" t="s">
        <v>86</v>
      </c>
      <c r="B17" t="str">
        <f t="shared" si="0"/>
        <v>Hoarder</v>
      </c>
      <c r="C17" t="s">
        <v>35</v>
      </c>
      <c r="D17" t="s">
        <v>275</v>
      </c>
      <c r="E17" t="s">
        <v>28</v>
      </c>
      <c r="F17" t="s">
        <v>28</v>
      </c>
      <c r="G17" t="s">
        <v>28</v>
      </c>
      <c r="H17" t="str">
        <f t="shared" si="1"/>
        <v>Fire|Fire|Fire</v>
      </c>
      <c r="I17" t="b">
        <v>0</v>
      </c>
    </row>
    <row r="18" spans="1:9" x14ac:dyDescent="0.25">
      <c r="A18" t="s">
        <v>274</v>
      </c>
      <c r="B18" t="str">
        <f t="shared" si="0"/>
        <v>Secure</v>
      </c>
      <c r="C18" t="s">
        <v>35</v>
      </c>
      <c r="D18" t="s">
        <v>294</v>
      </c>
      <c r="E18" t="s">
        <v>34</v>
      </c>
      <c r="F18" t="s">
        <v>30</v>
      </c>
      <c r="G18" t="s">
        <v>30</v>
      </c>
      <c r="I18" t="b">
        <v>0</v>
      </c>
    </row>
    <row r="19" spans="1:9" x14ac:dyDescent="0.25">
      <c r="A19" t="s">
        <v>87</v>
      </c>
      <c r="B19" t="str">
        <f t="shared" si="0"/>
        <v>Affinity</v>
      </c>
      <c r="C19" t="s">
        <v>35</v>
      </c>
      <c r="D19" t="s">
        <v>293</v>
      </c>
      <c r="E19" t="s">
        <v>30</v>
      </c>
      <c r="F19" t="s">
        <v>30</v>
      </c>
      <c r="G19" t="s">
        <v>28</v>
      </c>
      <c r="H19" t="str">
        <f t="shared" si="1"/>
        <v>Earth|Earth|Fire</v>
      </c>
      <c r="I19" t="b">
        <v>0</v>
      </c>
    </row>
    <row r="20" spans="1:9" x14ac:dyDescent="0.25">
      <c r="A20" t="s">
        <v>88</v>
      </c>
      <c r="B20" t="str">
        <f t="shared" si="0"/>
        <v>Retribution</v>
      </c>
      <c r="C20" t="s">
        <v>36</v>
      </c>
      <c r="D20" t="s">
        <v>89</v>
      </c>
      <c r="E20" t="s">
        <v>28</v>
      </c>
      <c r="F20" t="s">
        <v>28</v>
      </c>
      <c r="G20" t="s">
        <v>30</v>
      </c>
      <c r="H20" t="str">
        <f t="shared" si="1"/>
        <v>Fire|Fire|Earth</v>
      </c>
      <c r="I20" t="b">
        <v>0</v>
      </c>
    </row>
    <row r="21" spans="1:9" x14ac:dyDescent="0.25">
      <c r="A21" t="s">
        <v>90</v>
      </c>
      <c r="B21" t="str">
        <f t="shared" si="0"/>
        <v>Flexible</v>
      </c>
      <c r="C21" t="s">
        <v>36</v>
      </c>
      <c r="D21" t="s">
        <v>91</v>
      </c>
      <c r="E21" t="s">
        <v>27</v>
      </c>
      <c r="F21" t="s">
        <v>27</v>
      </c>
      <c r="G21" t="s">
        <v>34</v>
      </c>
      <c r="H21" t="str">
        <f t="shared" si="1"/>
        <v>Air|Air|Water</v>
      </c>
      <c r="I21" t="b">
        <v>0</v>
      </c>
    </row>
    <row r="22" spans="1:9" x14ac:dyDescent="0.25">
      <c r="A22" t="s">
        <v>92</v>
      </c>
      <c r="B22" t="str">
        <f t="shared" si="0"/>
        <v>Shield</v>
      </c>
      <c r="C22" t="s">
        <v>36</v>
      </c>
      <c r="D22" t="s">
        <v>93</v>
      </c>
      <c r="H22" t="str">
        <f t="shared" si="1"/>
        <v/>
      </c>
      <c r="I22" t="b">
        <v>0</v>
      </c>
    </row>
    <row r="23" spans="1:9" x14ac:dyDescent="0.25">
      <c r="A23" t="s">
        <v>260</v>
      </c>
      <c r="B23" t="str">
        <f t="shared" si="0"/>
        <v>Experience</v>
      </c>
      <c r="C23" t="s">
        <v>254</v>
      </c>
      <c r="D23" t="s">
        <v>256</v>
      </c>
      <c r="H23" t="str">
        <f t="shared" si="1"/>
        <v/>
      </c>
      <c r="I23" t="b">
        <v>0</v>
      </c>
    </row>
    <row r="24" spans="1:9" x14ac:dyDescent="0.25">
      <c r="A24" t="s">
        <v>258</v>
      </c>
      <c r="B24" t="str">
        <f t="shared" si="0"/>
        <v>Stalk</v>
      </c>
      <c r="C24" t="s">
        <v>254</v>
      </c>
      <c r="D24" t="s">
        <v>257</v>
      </c>
      <c r="H24" t="str">
        <f t="shared" si="1"/>
        <v/>
      </c>
      <c r="I24" t="b">
        <v>0</v>
      </c>
    </row>
    <row r="25" spans="1:9" x14ac:dyDescent="0.25">
      <c r="A25" t="s">
        <v>259</v>
      </c>
      <c r="B25" t="str">
        <f t="shared" si="0"/>
        <v>Fright</v>
      </c>
      <c r="C25" t="s">
        <v>254</v>
      </c>
      <c r="D25" t="s">
        <v>287</v>
      </c>
      <c r="H25" t="str">
        <f t="shared" si="1"/>
        <v/>
      </c>
      <c r="I25" t="b">
        <v>0</v>
      </c>
    </row>
    <row r="26" spans="1:9" x14ac:dyDescent="0.25">
      <c r="A26" t="s">
        <v>277</v>
      </c>
      <c r="B26" t="str">
        <f t="shared" si="0"/>
        <v>Gravity</v>
      </c>
      <c r="C26" t="s">
        <v>251</v>
      </c>
      <c r="D26" t="s">
        <v>278</v>
      </c>
      <c r="H26" t="str">
        <f t="shared" si="1"/>
        <v/>
      </c>
      <c r="I26" t="b">
        <v>0</v>
      </c>
    </row>
    <row r="27" spans="1:9" x14ac:dyDescent="0.25">
      <c r="A27" t="s">
        <v>298</v>
      </c>
      <c r="B27" t="str">
        <f t="shared" si="0"/>
        <v>Recharge</v>
      </c>
      <c r="C27" t="s">
        <v>296</v>
      </c>
      <c r="D27" t="s">
        <v>300</v>
      </c>
      <c r="E27" t="s">
        <v>27</v>
      </c>
      <c r="F27" t="s">
        <v>27</v>
      </c>
      <c r="G27" t="s">
        <v>27</v>
      </c>
      <c r="H27" t="str">
        <f t="shared" si="1"/>
        <v>Air|Air|Air</v>
      </c>
      <c r="I27" t="b">
        <v>0</v>
      </c>
    </row>
    <row r="28" spans="1:9" x14ac:dyDescent="0.25">
      <c r="C28" t="s">
        <v>296</v>
      </c>
      <c r="D28" t="s">
        <v>299</v>
      </c>
      <c r="E28" t="s">
        <v>27</v>
      </c>
      <c r="F28" t="s">
        <v>28</v>
      </c>
      <c r="G28" t="s">
        <v>28</v>
      </c>
      <c r="H28" t="str">
        <f t="shared" si="1"/>
        <v>Air|Fire|Fire</v>
      </c>
      <c r="I28" t="b">
        <v>0</v>
      </c>
    </row>
    <row r="29" spans="1:9" x14ac:dyDescent="0.25">
      <c r="C29" t="s">
        <v>296</v>
      </c>
      <c r="D29" t="s">
        <v>301</v>
      </c>
      <c r="E29" t="s">
        <v>27</v>
      </c>
      <c r="F29" t="s">
        <v>34</v>
      </c>
      <c r="G29" t="s">
        <v>34</v>
      </c>
      <c r="H29" t="str">
        <f t="shared" si="1"/>
        <v>Air|Water|Water</v>
      </c>
      <c r="I29" t="b">
        <v>0</v>
      </c>
    </row>
    <row r="30" spans="1:9" x14ac:dyDescent="0.25">
      <c r="C30" t="s">
        <v>280</v>
      </c>
      <c r="D30" t="s">
        <v>302</v>
      </c>
      <c r="H30" t="str">
        <f t="shared" si="1"/>
        <v/>
      </c>
      <c r="I30" t="b">
        <v>0</v>
      </c>
    </row>
    <row r="31" spans="1:9" x14ac:dyDescent="0.25">
      <c r="H31" t="str">
        <f t="shared" si="1"/>
        <v/>
      </c>
    </row>
    <row r="32" spans="1:9" x14ac:dyDescent="0.25">
      <c r="D32" t="s">
        <v>304</v>
      </c>
      <c r="H32" t="str">
        <f t="shared" si="1"/>
        <v/>
      </c>
    </row>
    <row r="33" spans="8:8" x14ac:dyDescent="0.25">
      <c r="H33" t="str">
        <f t="shared" si="1"/>
        <v/>
      </c>
    </row>
    <row r="34" spans="8:8" x14ac:dyDescent="0.25">
      <c r="H34" t="str">
        <f t="shared" si="1"/>
        <v/>
      </c>
    </row>
    <row r="35" spans="8:8" x14ac:dyDescent="0.25">
      <c r="H35" t="str">
        <f t="shared" ref="H35:H66" si="2">_xlfn.TEXTJOIN("|",TRUE,_xlfn._xlws.SORT(E35:G35))</f>
        <v/>
      </c>
    </row>
    <row r="36" spans="8:8" x14ac:dyDescent="0.25">
      <c r="H36" t="str">
        <f t="shared" si="2"/>
        <v/>
      </c>
    </row>
    <row r="37" spans="8:8" x14ac:dyDescent="0.25">
      <c r="H37" t="str">
        <f t="shared" si="2"/>
        <v/>
      </c>
    </row>
    <row r="38" spans="8:8" x14ac:dyDescent="0.25">
      <c r="H38" t="str">
        <f t="shared" si="2"/>
        <v/>
      </c>
    </row>
    <row r="39" spans="8:8" x14ac:dyDescent="0.25">
      <c r="H39" t="str">
        <f t="shared" si="2"/>
        <v/>
      </c>
    </row>
    <row r="40" spans="8:8" x14ac:dyDescent="0.25">
      <c r="H40" t="str">
        <f t="shared" si="2"/>
        <v/>
      </c>
    </row>
    <row r="41" spans="8:8" x14ac:dyDescent="0.25">
      <c r="H41" t="str">
        <f t="shared" si="2"/>
        <v/>
      </c>
    </row>
    <row r="42" spans="8:8" x14ac:dyDescent="0.25">
      <c r="H42" t="str">
        <f t="shared" si="2"/>
        <v/>
      </c>
    </row>
    <row r="43" spans="8:8" x14ac:dyDescent="0.25">
      <c r="H43" t="str">
        <f t="shared" si="2"/>
        <v/>
      </c>
    </row>
    <row r="44" spans="8:8" x14ac:dyDescent="0.25">
      <c r="H44" t="str">
        <f t="shared" si="2"/>
        <v/>
      </c>
    </row>
    <row r="45" spans="8:8" x14ac:dyDescent="0.25">
      <c r="H45" t="str">
        <f t="shared" si="2"/>
        <v/>
      </c>
    </row>
    <row r="46" spans="8:8" x14ac:dyDescent="0.25">
      <c r="H46" t="str">
        <f t="shared" si="2"/>
        <v/>
      </c>
    </row>
    <row r="47" spans="8:8" x14ac:dyDescent="0.25">
      <c r="H47" t="str">
        <f t="shared" si="2"/>
        <v/>
      </c>
    </row>
    <row r="48" spans="8:8" x14ac:dyDescent="0.25">
      <c r="H48" t="str">
        <f t="shared" si="2"/>
        <v/>
      </c>
    </row>
    <row r="49" spans="8:8" x14ac:dyDescent="0.25">
      <c r="H49" t="str">
        <f t="shared" si="2"/>
        <v/>
      </c>
    </row>
    <row r="50" spans="8:8" x14ac:dyDescent="0.25">
      <c r="H50" t="str">
        <f t="shared" si="2"/>
        <v/>
      </c>
    </row>
    <row r="51" spans="8:8" x14ac:dyDescent="0.25">
      <c r="H51" t="str">
        <f t="shared" si="2"/>
        <v/>
      </c>
    </row>
    <row r="52" spans="8:8" x14ac:dyDescent="0.25">
      <c r="H52" t="str">
        <f t="shared" si="2"/>
        <v/>
      </c>
    </row>
    <row r="53" spans="8:8" x14ac:dyDescent="0.25">
      <c r="H53" t="str">
        <f t="shared" si="2"/>
        <v/>
      </c>
    </row>
    <row r="54" spans="8:8" x14ac:dyDescent="0.25">
      <c r="H54" t="str">
        <f t="shared" si="2"/>
        <v/>
      </c>
    </row>
    <row r="55" spans="8:8" x14ac:dyDescent="0.25">
      <c r="H55" t="str">
        <f t="shared" si="2"/>
        <v/>
      </c>
    </row>
    <row r="56" spans="8:8" x14ac:dyDescent="0.25">
      <c r="H56" t="str">
        <f t="shared" si="2"/>
        <v/>
      </c>
    </row>
    <row r="57" spans="8:8" x14ac:dyDescent="0.25">
      <c r="H57" t="str">
        <f t="shared" si="2"/>
        <v/>
      </c>
    </row>
    <row r="58" spans="8:8" x14ac:dyDescent="0.25">
      <c r="H58" t="str">
        <f t="shared" si="2"/>
        <v/>
      </c>
    </row>
    <row r="59" spans="8:8" x14ac:dyDescent="0.25">
      <c r="H59" t="str">
        <f t="shared" si="2"/>
        <v/>
      </c>
    </row>
    <row r="60" spans="8:8" x14ac:dyDescent="0.25">
      <c r="H60" t="str">
        <f t="shared" si="2"/>
        <v/>
      </c>
    </row>
    <row r="61" spans="8:8" x14ac:dyDescent="0.25">
      <c r="H61" t="str">
        <f t="shared" si="2"/>
        <v/>
      </c>
    </row>
    <row r="62" spans="8:8" x14ac:dyDescent="0.25">
      <c r="H62" t="str">
        <f t="shared" si="2"/>
        <v/>
      </c>
    </row>
    <row r="63" spans="8:8" x14ac:dyDescent="0.25">
      <c r="H63" t="str">
        <f t="shared" si="2"/>
        <v/>
      </c>
    </row>
    <row r="64" spans="8:8" x14ac:dyDescent="0.25">
      <c r="H64" t="str">
        <f t="shared" si="2"/>
        <v/>
      </c>
    </row>
    <row r="65" spans="8:8" x14ac:dyDescent="0.25">
      <c r="H65" t="str">
        <f t="shared" si="2"/>
        <v/>
      </c>
    </row>
    <row r="66" spans="8:8" x14ac:dyDescent="0.25">
      <c r="H66" t="str">
        <f t="shared" si="2"/>
        <v/>
      </c>
    </row>
    <row r="67" spans="8:8" x14ac:dyDescent="0.25">
      <c r="H67" t="str">
        <f t="shared" ref="H67:H98" si="3">_xlfn.TEXTJOIN("|",TRUE,_xlfn._xlws.SORT(E67:G67))</f>
        <v/>
      </c>
    </row>
    <row r="68" spans="8:8" x14ac:dyDescent="0.25">
      <c r="H68" t="str">
        <f t="shared" si="3"/>
        <v/>
      </c>
    </row>
    <row r="69" spans="8:8" x14ac:dyDescent="0.25">
      <c r="H69" t="str">
        <f t="shared" si="3"/>
        <v/>
      </c>
    </row>
    <row r="70" spans="8:8" x14ac:dyDescent="0.25">
      <c r="H70" t="str">
        <f t="shared" si="3"/>
        <v/>
      </c>
    </row>
    <row r="71" spans="8:8" x14ac:dyDescent="0.25">
      <c r="H71" t="str">
        <f t="shared" si="3"/>
        <v/>
      </c>
    </row>
    <row r="72" spans="8:8" x14ac:dyDescent="0.25">
      <c r="H72" t="str">
        <f t="shared" si="3"/>
        <v/>
      </c>
    </row>
    <row r="73" spans="8:8" x14ac:dyDescent="0.25">
      <c r="H73" t="str">
        <f t="shared" si="3"/>
        <v/>
      </c>
    </row>
    <row r="74" spans="8:8" x14ac:dyDescent="0.25">
      <c r="H74" t="str">
        <f t="shared" si="3"/>
        <v/>
      </c>
    </row>
    <row r="75" spans="8:8" x14ac:dyDescent="0.25">
      <c r="H75" t="str">
        <f t="shared" si="3"/>
        <v/>
      </c>
    </row>
    <row r="76" spans="8:8" x14ac:dyDescent="0.25">
      <c r="H76" t="str">
        <f t="shared" si="3"/>
        <v/>
      </c>
    </row>
    <row r="77" spans="8:8" x14ac:dyDescent="0.25">
      <c r="H77" t="str">
        <f t="shared" si="3"/>
        <v/>
      </c>
    </row>
    <row r="78" spans="8:8" x14ac:dyDescent="0.25">
      <c r="H78" t="str">
        <f t="shared" si="3"/>
        <v/>
      </c>
    </row>
    <row r="79" spans="8:8" x14ac:dyDescent="0.25">
      <c r="H79" t="str">
        <f t="shared" si="3"/>
        <v/>
      </c>
    </row>
    <row r="80" spans="8:8" x14ac:dyDescent="0.25">
      <c r="H80" t="str">
        <f t="shared" si="3"/>
        <v/>
      </c>
    </row>
    <row r="81" spans="8:8" x14ac:dyDescent="0.25">
      <c r="H81" t="str">
        <f t="shared" si="3"/>
        <v/>
      </c>
    </row>
    <row r="82" spans="8:8" x14ac:dyDescent="0.25">
      <c r="H82" t="str">
        <f t="shared" si="3"/>
        <v/>
      </c>
    </row>
    <row r="83" spans="8:8" x14ac:dyDescent="0.25">
      <c r="H83" t="str">
        <f t="shared" si="3"/>
        <v/>
      </c>
    </row>
    <row r="84" spans="8:8" x14ac:dyDescent="0.25">
      <c r="H84" t="str">
        <f t="shared" si="3"/>
        <v/>
      </c>
    </row>
    <row r="85" spans="8:8" x14ac:dyDescent="0.25">
      <c r="H85" t="str">
        <f t="shared" si="3"/>
        <v/>
      </c>
    </row>
    <row r="86" spans="8:8" x14ac:dyDescent="0.25">
      <c r="H86" t="str">
        <f t="shared" si="3"/>
        <v/>
      </c>
    </row>
    <row r="87" spans="8:8" x14ac:dyDescent="0.25">
      <c r="H87" t="str">
        <f t="shared" si="3"/>
        <v/>
      </c>
    </row>
    <row r="88" spans="8:8" x14ac:dyDescent="0.25">
      <c r="H88" t="str">
        <f t="shared" si="3"/>
        <v/>
      </c>
    </row>
    <row r="89" spans="8:8" x14ac:dyDescent="0.25">
      <c r="H89" t="str">
        <f t="shared" si="3"/>
        <v/>
      </c>
    </row>
    <row r="90" spans="8:8" x14ac:dyDescent="0.25">
      <c r="H90" t="str">
        <f t="shared" si="3"/>
        <v/>
      </c>
    </row>
    <row r="91" spans="8:8" x14ac:dyDescent="0.25">
      <c r="H91" t="str">
        <f t="shared" si="3"/>
        <v/>
      </c>
    </row>
    <row r="92" spans="8:8" x14ac:dyDescent="0.25">
      <c r="H92" t="str">
        <f t="shared" si="3"/>
        <v/>
      </c>
    </row>
    <row r="93" spans="8:8" x14ac:dyDescent="0.25">
      <c r="H93" t="str">
        <f t="shared" si="3"/>
        <v/>
      </c>
    </row>
    <row r="94" spans="8:8" x14ac:dyDescent="0.25">
      <c r="H94" t="str">
        <f t="shared" si="3"/>
        <v/>
      </c>
    </row>
    <row r="95" spans="8:8" x14ac:dyDescent="0.25">
      <c r="H95" t="str">
        <f t="shared" si="3"/>
        <v/>
      </c>
    </row>
    <row r="96" spans="8:8" x14ac:dyDescent="0.25">
      <c r="H96" t="str">
        <f t="shared" si="3"/>
        <v/>
      </c>
    </row>
    <row r="97" spans="8:8" x14ac:dyDescent="0.25">
      <c r="H97" t="str">
        <f t="shared" si="3"/>
        <v/>
      </c>
    </row>
    <row r="98" spans="8:8" x14ac:dyDescent="0.25">
      <c r="H98" t="str">
        <f t="shared" si="3"/>
        <v/>
      </c>
    </row>
    <row r="99" spans="8:8" x14ac:dyDescent="0.25">
      <c r="H99" t="str">
        <f t="shared" ref="H99:H107" si="4">_xlfn.TEXTJOIN("|",TRUE,_xlfn._xlws.SORT(E99:G99))</f>
        <v/>
      </c>
    </row>
    <row r="100" spans="8:8" x14ac:dyDescent="0.25">
      <c r="H100" t="str">
        <f t="shared" si="4"/>
        <v/>
      </c>
    </row>
    <row r="101" spans="8:8" x14ac:dyDescent="0.25">
      <c r="H101" t="str">
        <f t="shared" si="4"/>
        <v/>
      </c>
    </row>
    <row r="102" spans="8:8" x14ac:dyDescent="0.25">
      <c r="H102" t="str">
        <f t="shared" si="4"/>
        <v/>
      </c>
    </row>
    <row r="103" spans="8:8" x14ac:dyDescent="0.25">
      <c r="H103" t="str">
        <f t="shared" si="4"/>
        <v/>
      </c>
    </row>
    <row r="104" spans="8:8" x14ac:dyDescent="0.25">
      <c r="H104" t="str">
        <f t="shared" si="4"/>
        <v/>
      </c>
    </row>
    <row r="105" spans="8:8" x14ac:dyDescent="0.25">
      <c r="H105" t="str">
        <f t="shared" si="4"/>
        <v/>
      </c>
    </row>
    <row r="106" spans="8:8" x14ac:dyDescent="0.25">
      <c r="H106" t="str">
        <f t="shared" si="4"/>
        <v/>
      </c>
    </row>
    <row r="107" spans="8:8" x14ac:dyDescent="0.25">
      <c r="H107" t="str">
        <f t="shared" si="4"/>
        <v/>
      </c>
    </row>
  </sheetData>
  <conditionalFormatting sqref="E1:G90">
    <cfRule type="cellIs" dxfId="8" priority="1" operator="equal">
      <formula>"Earth"</formula>
    </cfRule>
    <cfRule type="cellIs" dxfId="7" priority="2" operator="equal">
      <formula>"Water"</formula>
    </cfRule>
    <cfRule type="cellIs" dxfId="6" priority="3" operator="equal">
      <formula>"Fire"</formula>
    </cfRule>
    <cfRule type="cellIs" dxfId="5" priority="4" operator="equal">
      <formula>"Air"</formula>
    </cfRule>
  </conditionalFormatting>
  <conditionalFormatting sqref="I1">
    <cfRule type="cellIs" dxfId="4" priority="41" operator="equal">
      <formula>"Earth"</formula>
    </cfRule>
    <cfRule type="cellIs" dxfId="3" priority="42" operator="equal">
      <formula>"Water"</formula>
    </cfRule>
    <cfRule type="cellIs" dxfId="2" priority="43" operator="equal">
      <formula>"Fire"</formula>
    </cfRule>
    <cfRule type="cellIs" dxfId="1" priority="44" operator="equal">
      <formula>"Air"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625C9F3-AC3A-45E4-BF5F-4CA9BB4B1AFE}">
          <x14:formula1>
            <xm:f>input!$C$2:$F$2</xm:f>
          </x14:formula1>
          <xm:sqref>E2:G52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42FAC-7326-47E8-9F14-D9D50EC3456E}">
  <sheetPr>
    <tabColor theme="4" tint="0.59999389629810485"/>
  </sheetPr>
  <dimension ref="A1:G53"/>
  <sheetViews>
    <sheetView tabSelected="1" workbookViewId="0">
      <selection activeCell="C3" sqref="C3"/>
    </sheetView>
  </sheetViews>
  <sheetFormatPr defaultRowHeight="15" x14ac:dyDescent="0.25"/>
  <cols>
    <col min="1" max="1" width="14.42578125" customWidth="1"/>
    <col min="2" max="2" width="14.28515625" customWidth="1"/>
    <col min="3" max="3" width="94.42578125" bestFit="1" customWidth="1"/>
    <col min="4" max="4" width="21.7109375" customWidth="1"/>
    <col min="5" max="5" width="37.42578125" customWidth="1"/>
    <col min="13" max="13" width="95.85546875" customWidth="1"/>
  </cols>
  <sheetData>
    <row r="1" spans="1:7" x14ac:dyDescent="0.25">
      <c r="A1" s="4" t="s">
        <v>0</v>
      </c>
      <c r="B1" s="4" t="s">
        <v>1</v>
      </c>
      <c r="C1" s="4" t="s">
        <v>42</v>
      </c>
      <c r="D1" s="4" t="s">
        <v>338</v>
      </c>
      <c r="E1" s="13" t="s">
        <v>321</v>
      </c>
      <c r="F1" s="13" t="s">
        <v>21</v>
      </c>
      <c r="G1" s="3" t="s">
        <v>309</v>
      </c>
    </row>
    <row r="2" spans="1:7" x14ac:dyDescent="0.25">
      <c r="A2" t="s">
        <v>317</v>
      </c>
      <c r="B2" t="str">
        <f t="shared" ref="B2:B53" si="0">PROPER(SUBSTITUTE(A2,"_"," "))</f>
        <v>Frostburn</v>
      </c>
      <c r="C2" t="s">
        <v>440</v>
      </c>
      <c r="D2" t="s">
        <v>415</v>
      </c>
      <c r="E2" t="str">
        <f>"res://ui/rites/"&amp;A2&amp;".png"</f>
        <v>res://ui/rites/frostburn.png</v>
      </c>
      <c r="F2" t="b">
        <v>1</v>
      </c>
      <c r="G2">
        <v>1</v>
      </c>
    </row>
    <row r="3" spans="1:7" x14ac:dyDescent="0.25">
      <c r="A3" t="s">
        <v>326</v>
      </c>
      <c r="B3" t="str">
        <f t="shared" si="0"/>
        <v>Ward</v>
      </c>
      <c r="C3" t="s">
        <v>318</v>
      </c>
      <c r="D3" t="s">
        <v>416</v>
      </c>
      <c r="E3" t="str">
        <f t="shared" ref="E3:E53" si="1">"res://ui/rites/"&amp;A3&amp;".png"</f>
        <v>res://ui/rites/ward.png</v>
      </c>
      <c r="F3" t="b">
        <v>1</v>
      </c>
      <c r="G3">
        <v>3</v>
      </c>
    </row>
    <row r="4" spans="1:7" x14ac:dyDescent="0.25">
      <c r="A4" t="s">
        <v>319</v>
      </c>
      <c r="B4" t="str">
        <f t="shared" si="0"/>
        <v>Efficiancy</v>
      </c>
      <c r="C4" t="s">
        <v>303</v>
      </c>
      <c r="D4" t="s">
        <v>417</v>
      </c>
      <c r="E4" t="str">
        <f t="shared" si="1"/>
        <v>res://ui/rites/efficiancy.png</v>
      </c>
    </row>
    <row r="5" spans="1:7" x14ac:dyDescent="0.25">
      <c r="A5" t="s">
        <v>327</v>
      </c>
      <c r="B5" t="str">
        <f t="shared" si="0"/>
        <v>Rebate</v>
      </c>
      <c r="C5" t="s">
        <v>328</v>
      </c>
      <c r="D5" t="s">
        <v>409</v>
      </c>
      <c r="E5" t="str">
        <f t="shared" si="1"/>
        <v>res://ui/rites/rebate.png</v>
      </c>
    </row>
    <row r="6" spans="1:7" x14ac:dyDescent="0.25">
      <c r="A6" t="s">
        <v>329</v>
      </c>
      <c r="B6" t="str">
        <f t="shared" si="0"/>
        <v>Grace</v>
      </c>
      <c r="C6" t="s">
        <v>307</v>
      </c>
      <c r="D6" t="s">
        <v>379</v>
      </c>
      <c r="E6" t="str">
        <f t="shared" si="1"/>
        <v>res://ui/rites/grace.png</v>
      </c>
    </row>
    <row r="7" spans="1:7" x14ac:dyDescent="0.25">
      <c r="A7" t="s">
        <v>330</v>
      </c>
      <c r="B7" t="str">
        <f t="shared" si="0"/>
        <v>Flux</v>
      </c>
      <c r="C7" t="s">
        <v>308</v>
      </c>
      <c r="D7" t="s">
        <v>339</v>
      </c>
      <c r="E7" t="str">
        <f t="shared" si="1"/>
        <v>res://ui/rites/flux.png</v>
      </c>
    </row>
    <row r="8" spans="1:7" x14ac:dyDescent="0.25">
      <c r="A8" t="s">
        <v>320</v>
      </c>
      <c r="B8" t="str">
        <f t="shared" si="0"/>
        <v>Accelerant</v>
      </c>
      <c r="C8" t="s">
        <v>418</v>
      </c>
      <c r="D8" t="s">
        <v>419</v>
      </c>
      <c r="E8" t="str">
        <f t="shared" si="1"/>
        <v>res://ui/rites/accelerant.png</v>
      </c>
      <c r="G8">
        <v>1</v>
      </c>
    </row>
    <row r="9" spans="1:7" x14ac:dyDescent="0.25">
      <c r="A9" t="s">
        <v>331</v>
      </c>
      <c r="B9" t="str">
        <f t="shared" si="0"/>
        <v>Clash</v>
      </c>
      <c r="C9" t="s">
        <v>323</v>
      </c>
      <c r="D9" t="s">
        <v>237</v>
      </c>
      <c r="E9" t="str">
        <f t="shared" si="1"/>
        <v>res://ui/rites/clash.png</v>
      </c>
      <c r="F9" t="b">
        <v>1</v>
      </c>
      <c r="G9">
        <v>1</v>
      </c>
    </row>
    <row r="10" spans="1:7" x14ac:dyDescent="0.25">
      <c r="A10" t="s">
        <v>332</v>
      </c>
      <c r="B10" t="str">
        <f t="shared" si="0"/>
        <v>Skewer</v>
      </c>
      <c r="C10" t="s">
        <v>305</v>
      </c>
      <c r="D10" t="s">
        <v>421</v>
      </c>
      <c r="E10" t="str">
        <f t="shared" si="1"/>
        <v>res://ui/rites/skewer.png</v>
      </c>
      <c r="G10">
        <v>1</v>
      </c>
    </row>
    <row r="11" spans="1:7" x14ac:dyDescent="0.25">
      <c r="A11" t="s">
        <v>333</v>
      </c>
      <c r="B11" t="str">
        <f t="shared" si="0"/>
        <v>Concuss</v>
      </c>
      <c r="C11" t="s">
        <v>422</v>
      </c>
      <c r="D11" t="s">
        <v>409</v>
      </c>
      <c r="E11" t="str">
        <f t="shared" si="1"/>
        <v>res://ui/rites/concuss.png</v>
      </c>
      <c r="G11">
        <v>1</v>
      </c>
    </row>
    <row r="12" spans="1:7" x14ac:dyDescent="0.25">
      <c r="A12" t="s">
        <v>423</v>
      </c>
      <c r="B12" t="str">
        <f t="shared" si="0"/>
        <v>Mining</v>
      </c>
      <c r="C12" t="s">
        <v>306</v>
      </c>
      <c r="D12" t="s">
        <v>420</v>
      </c>
      <c r="E12" t="str">
        <f t="shared" si="1"/>
        <v>res://ui/rites/mining.png</v>
      </c>
      <c r="G12">
        <v>2</v>
      </c>
    </row>
    <row r="13" spans="1:7" x14ac:dyDescent="0.25">
      <c r="A13" t="s">
        <v>335</v>
      </c>
      <c r="B13" t="str">
        <f t="shared" si="0"/>
        <v>Ballast</v>
      </c>
      <c r="C13" t="s">
        <v>324</v>
      </c>
      <c r="D13" t="s">
        <v>409</v>
      </c>
      <c r="E13" t="str">
        <f t="shared" si="1"/>
        <v>res://ui/rites/ballast.png</v>
      </c>
      <c r="G13">
        <v>1</v>
      </c>
    </row>
    <row r="14" spans="1:7" x14ac:dyDescent="0.25">
      <c r="A14" t="s">
        <v>311</v>
      </c>
      <c r="B14" t="str">
        <f t="shared" si="0"/>
        <v>Tithe</v>
      </c>
      <c r="C14" t="s">
        <v>310</v>
      </c>
      <c r="D14" t="s">
        <v>417</v>
      </c>
      <c r="E14" t="str">
        <f t="shared" si="1"/>
        <v>res://ui/rites/tithe.png</v>
      </c>
      <c r="G14">
        <v>1</v>
      </c>
    </row>
    <row r="15" spans="1:7" x14ac:dyDescent="0.25">
      <c r="A15" t="s">
        <v>313</v>
      </c>
      <c r="B15" t="str">
        <f t="shared" si="0"/>
        <v>Groove</v>
      </c>
      <c r="C15" t="s">
        <v>312</v>
      </c>
      <c r="D15" t="s">
        <v>417</v>
      </c>
      <c r="E15" t="str">
        <f t="shared" si="1"/>
        <v>res://ui/rites/groove.png</v>
      </c>
      <c r="G15">
        <v>1</v>
      </c>
    </row>
    <row r="16" spans="1:7" x14ac:dyDescent="0.25">
      <c r="A16" t="s">
        <v>314</v>
      </c>
      <c r="B16" t="str">
        <f t="shared" si="0"/>
        <v>Boil</v>
      </c>
      <c r="C16" t="s">
        <v>322</v>
      </c>
      <c r="D16" t="s">
        <v>17</v>
      </c>
      <c r="E16" t="str">
        <f t="shared" si="1"/>
        <v>res://ui/rites/boil.png</v>
      </c>
      <c r="G16">
        <v>2</v>
      </c>
    </row>
    <row r="17" spans="1:7" x14ac:dyDescent="0.25">
      <c r="A17" t="s">
        <v>337</v>
      </c>
      <c r="B17" t="str">
        <f t="shared" si="0"/>
        <v>Tempered</v>
      </c>
      <c r="C17" t="s">
        <v>315</v>
      </c>
      <c r="D17" t="s">
        <v>409</v>
      </c>
      <c r="E17" t="str">
        <f t="shared" si="1"/>
        <v>res://ui/rites/tempered.png</v>
      </c>
      <c r="F17" t="b">
        <v>1</v>
      </c>
      <c r="G17">
        <v>2</v>
      </c>
    </row>
    <row r="18" spans="1:7" x14ac:dyDescent="0.25">
      <c r="A18" t="s">
        <v>336</v>
      </c>
      <c r="B18" t="str">
        <f t="shared" si="0"/>
        <v>Swell</v>
      </c>
      <c r="C18" t="s">
        <v>316</v>
      </c>
      <c r="D18" t="s">
        <v>414</v>
      </c>
      <c r="E18" t="str">
        <f t="shared" si="1"/>
        <v>res://ui/rites/swell.png</v>
      </c>
    </row>
    <row r="19" spans="1:7" x14ac:dyDescent="0.25">
      <c r="A19" t="s">
        <v>340</v>
      </c>
      <c r="B19" t="str">
        <f t="shared" si="0"/>
        <v>Ember</v>
      </c>
      <c r="C19" t="s">
        <v>341</v>
      </c>
      <c r="D19" t="s">
        <v>16</v>
      </c>
      <c r="E19" t="str">
        <f t="shared" si="1"/>
        <v>res://ui/rites/ember.png</v>
      </c>
      <c r="G19">
        <v>1</v>
      </c>
    </row>
    <row r="20" spans="1:7" x14ac:dyDescent="0.25">
      <c r="A20" t="s">
        <v>342</v>
      </c>
      <c r="B20" t="str">
        <f t="shared" si="0"/>
        <v>Smolder</v>
      </c>
      <c r="C20" t="s">
        <v>343</v>
      </c>
      <c r="D20" t="s">
        <v>16</v>
      </c>
      <c r="E20" t="str">
        <f t="shared" si="1"/>
        <v>res://ui/rites/smolder.png</v>
      </c>
      <c r="G20">
        <v>2</v>
      </c>
    </row>
    <row r="21" spans="1:7" x14ac:dyDescent="0.25">
      <c r="A21" t="s">
        <v>345</v>
      </c>
      <c r="B21" t="str">
        <f t="shared" si="0"/>
        <v>Mercy</v>
      </c>
      <c r="C21" t="s">
        <v>344</v>
      </c>
      <c r="D21" t="s">
        <v>379</v>
      </c>
      <c r="E21" t="str">
        <f t="shared" si="1"/>
        <v>res://ui/rites/mercy.png</v>
      </c>
      <c r="G21">
        <v>1</v>
      </c>
    </row>
    <row r="22" spans="1:7" x14ac:dyDescent="0.25">
      <c r="A22" t="s">
        <v>347</v>
      </c>
      <c r="B22" t="str">
        <f t="shared" si="0"/>
        <v>Heft</v>
      </c>
      <c r="C22" t="s">
        <v>346</v>
      </c>
      <c r="D22" t="s">
        <v>379</v>
      </c>
      <c r="E22" t="str">
        <f t="shared" si="1"/>
        <v>res://ui/rites/heft.png</v>
      </c>
      <c r="G22">
        <v>2</v>
      </c>
    </row>
    <row r="23" spans="1:7" x14ac:dyDescent="0.25">
      <c r="A23" t="s">
        <v>349</v>
      </c>
      <c r="B23" t="str">
        <f t="shared" si="0"/>
        <v>Followthrough</v>
      </c>
      <c r="C23" t="s">
        <v>348</v>
      </c>
      <c r="D23" t="s">
        <v>379</v>
      </c>
      <c r="E23" t="str">
        <f t="shared" si="1"/>
        <v>res://ui/rites/followthrough.png</v>
      </c>
      <c r="G23">
        <v>1</v>
      </c>
    </row>
    <row r="24" spans="1:7" x14ac:dyDescent="0.25">
      <c r="A24" t="s">
        <v>350</v>
      </c>
      <c r="B24" t="str">
        <f t="shared" si="0"/>
        <v>Martyr</v>
      </c>
      <c r="C24" t="s">
        <v>351</v>
      </c>
      <c r="D24" t="s">
        <v>378</v>
      </c>
      <c r="E24" t="str">
        <f t="shared" si="1"/>
        <v>res://ui/rites/martyr.png</v>
      </c>
      <c r="G24">
        <v>2</v>
      </c>
    </row>
    <row r="25" spans="1:7" x14ac:dyDescent="0.25">
      <c r="A25" t="s">
        <v>352</v>
      </c>
      <c r="B25" t="str">
        <f t="shared" si="0"/>
        <v>Penance</v>
      </c>
      <c r="C25" t="s">
        <v>353</v>
      </c>
      <c r="D25" t="s">
        <v>378</v>
      </c>
      <c r="E25" t="str">
        <f t="shared" si="1"/>
        <v>res://ui/rites/penance.png</v>
      </c>
      <c r="G25">
        <v>2</v>
      </c>
    </row>
    <row r="26" spans="1:7" x14ac:dyDescent="0.25">
      <c r="A26" t="s">
        <v>354</v>
      </c>
      <c r="B26" t="str">
        <f t="shared" si="0"/>
        <v>Surrogate</v>
      </c>
      <c r="C26" t="s">
        <v>355</v>
      </c>
      <c r="D26" t="s">
        <v>378</v>
      </c>
      <c r="E26" t="str">
        <f t="shared" si="1"/>
        <v>res://ui/rites/surrogate.png</v>
      </c>
      <c r="G26">
        <v>2</v>
      </c>
    </row>
    <row r="27" spans="1:7" x14ac:dyDescent="0.25">
      <c r="A27" t="s">
        <v>356</v>
      </c>
      <c r="B27" t="str">
        <f t="shared" si="0"/>
        <v>Glass</v>
      </c>
      <c r="C27" t="s">
        <v>357</v>
      </c>
      <c r="D27" t="s">
        <v>378</v>
      </c>
      <c r="E27" t="str">
        <f t="shared" si="1"/>
        <v>res://ui/rites/glass.png</v>
      </c>
      <c r="G27">
        <v>2</v>
      </c>
    </row>
    <row r="28" spans="1:7" x14ac:dyDescent="0.25">
      <c r="A28" t="s">
        <v>358</v>
      </c>
      <c r="B28" t="str">
        <f t="shared" si="0"/>
        <v>Payback</v>
      </c>
      <c r="C28" t="s">
        <v>359</v>
      </c>
      <c r="D28" t="s">
        <v>378</v>
      </c>
      <c r="E28" t="str">
        <f t="shared" si="1"/>
        <v>res://ui/rites/payback.png</v>
      </c>
      <c r="G28">
        <v>2</v>
      </c>
    </row>
    <row r="29" spans="1:7" x14ac:dyDescent="0.25">
      <c r="A29" t="s">
        <v>360</v>
      </c>
      <c r="B29" t="str">
        <f t="shared" si="0"/>
        <v>Reduce</v>
      </c>
      <c r="C29" t="s">
        <v>361</v>
      </c>
      <c r="D29" t="s">
        <v>378</v>
      </c>
      <c r="E29" t="str">
        <f t="shared" si="1"/>
        <v>res://ui/rites/reduce.png</v>
      </c>
      <c r="G29">
        <v>2</v>
      </c>
    </row>
    <row r="30" spans="1:7" x14ac:dyDescent="0.25">
      <c r="A30" t="s">
        <v>362</v>
      </c>
      <c r="B30" t="str">
        <f t="shared" si="0"/>
        <v>Surplus</v>
      </c>
      <c r="C30" t="s">
        <v>363</v>
      </c>
      <c r="D30" t="s">
        <v>377</v>
      </c>
      <c r="E30" t="str">
        <f t="shared" si="1"/>
        <v>res://ui/rites/surplus.png</v>
      </c>
      <c r="G30">
        <v>1</v>
      </c>
    </row>
    <row r="31" spans="1:7" x14ac:dyDescent="0.25">
      <c r="A31" t="s">
        <v>364</v>
      </c>
      <c r="B31" t="str">
        <f t="shared" si="0"/>
        <v>Refund</v>
      </c>
      <c r="C31" t="s">
        <v>365</v>
      </c>
      <c r="D31" t="s">
        <v>377</v>
      </c>
      <c r="E31" t="str">
        <f t="shared" si="1"/>
        <v>res://ui/rites/refund.png</v>
      </c>
      <c r="G31">
        <v>3</v>
      </c>
    </row>
    <row r="32" spans="1:7" x14ac:dyDescent="0.25">
      <c r="A32" t="s">
        <v>366</v>
      </c>
      <c r="B32" t="str">
        <f t="shared" si="0"/>
        <v>Subsidy</v>
      </c>
      <c r="C32" t="s">
        <v>367</v>
      </c>
      <c r="D32" t="s">
        <v>377</v>
      </c>
      <c r="E32" t="str">
        <f t="shared" si="1"/>
        <v>res://ui/rites/subsidy.png</v>
      </c>
      <c r="G32">
        <v>2</v>
      </c>
    </row>
    <row r="33" spans="1:7" x14ac:dyDescent="0.25">
      <c r="A33" t="s">
        <v>368</v>
      </c>
      <c r="B33" t="str">
        <f t="shared" si="0"/>
        <v>Swarm</v>
      </c>
      <c r="C33" t="s">
        <v>369</v>
      </c>
      <c r="D33" t="s">
        <v>377</v>
      </c>
      <c r="E33" t="str">
        <f t="shared" si="1"/>
        <v>res://ui/rites/swarm.png</v>
      </c>
      <c r="G33">
        <v>1</v>
      </c>
    </row>
    <row r="34" spans="1:7" x14ac:dyDescent="0.25">
      <c r="A34" t="s">
        <v>334</v>
      </c>
      <c r="B34" t="str">
        <f t="shared" si="0"/>
        <v>Salvage</v>
      </c>
      <c r="C34" t="s">
        <v>370</v>
      </c>
      <c r="D34" t="s">
        <v>377</v>
      </c>
      <c r="E34" t="str">
        <f t="shared" si="1"/>
        <v>res://ui/rites/salvage.png</v>
      </c>
      <c r="G34">
        <v>1</v>
      </c>
    </row>
    <row r="35" spans="1:7" x14ac:dyDescent="0.25">
      <c r="A35" t="s">
        <v>371</v>
      </c>
      <c r="B35" t="str">
        <f t="shared" si="0"/>
        <v>Premium</v>
      </c>
      <c r="C35" t="s">
        <v>372</v>
      </c>
      <c r="D35" t="s">
        <v>377</v>
      </c>
      <c r="E35" t="str">
        <f t="shared" si="1"/>
        <v>res://ui/rites/premium.png</v>
      </c>
      <c r="G35">
        <v>2</v>
      </c>
    </row>
    <row r="36" spans="1:7" x14ac:dyDescent="0.25">
      <c r="A36" t="s">
        <v>374</v>
      </c>
      <c r="B36" t="str">
        <f t="shared" si="0"/>
        <v>Vigil</v>
      </c>
      <c r="C36" t="s">
        <v>373</v>
      </c>
      <c r="D36" t="s">
        <v>377</v>
      </c>
      <c r="E36" t="str">
        <f t="shared" si="1"/>
        <v>res://ui/rites/vigil.png</v>
      </c>
      <c r="G36">
        <v>1</v>
      </c>
    </row>
    <row r="37" spans="1:7" x14ac:dyDescent="0.25">
      <c r="A37" t="s">
        <v>375</v>
      </c>
      <c r="B37" t="str">
        <f t="shared" si="0"/>
        <v>Keeper</v>
      </c>
      <c r="C37" t="s">
        <v>376</v>
      </c>
      <c r="D37" t="s">
        <v>377</v>
      </c>
      <c r="E37" t="str">
        <f t="shared" si="1"/>
        <v>res://ui/rites/keeper.png</v>
      </c>
      <c r="G37">
        <v>1</v>
      </c>
    </row>
    <row r="38" spans="1:7" x14ac:dyDescent="0.25">
      <c r="A38" t="s">
        <v>381</v>
      </c>
      <c r="B38" t="str">
        <f t="shared" si="0"/>
        <v>Unburden</v>
      </c>
      <c r="C38" t="s">
        <v>380</v>
      </c>
      <c r="D38" t="s">
        <v>409</v>
      </c>
      <c r="E38" t="str">
        <f t="shared" si="1"/>
        <v>res://ui/rites/unburden.png</v>
      </c>
    </row>
    <row r="39" spans="1:7" x14ac:dyDescent="0.25">
      <c r="A39" t="s">
        <v>382</v>
      </c>
      <c r="B39" t="str">
        <f t="shared" si="0"/>
        <v>Courier</v>
      </c>
      <c r="C39" t="s">
        <v>383</v>
      </c>
      <c r="D39" t="s">
        <v>409</v>
      </c>
      <c r="E39" t="str">
        <f t="shared" si="1"/>
        <v>res://ui/rites/courier.png</v>
      </c>
    </row>
    <row r="40" spans="1:7" x14ac:dyDescent="0.25">
      <c r="A40" t="s">
        <v>389</v>
      </c>
      <c r="B40" t="str">
        <f t="shared" si="0"/>
        <v>Auspice</v>
      </c>
      <c r="C40" t="s">
        <v>384</v>
      </c>
      <c r="D40" t="s">
        <v>409</v>
      </c>
      <c r="E40" t="str">
        <f t="shared" si="1"/>
        <v>res://ui/rites/auspice.png</v>
      </c>
    </row>
    <row r="41" spans="1:7" x14ac:dyDescent="0.25">
      <c r="A41" t="s">
        <v>388</v>
      </c>
      <c r="B41" t="str">
        <f t="shared" si="0"/>
        <v>Brittle</v>
      </c>
      <c r="C41" t="s">
        <v>385</v>
      </c>
      <c r="D41" t="s">
        <v>409</v>
      </c>
      <c r="E41" t="str">
        <f t="shared" si="1"/>
        <v>res://ui/rites/brittle.png</v>
      </c>
    </row>
    <row r="42" spans="1:7" x14ac:dyDescent="0.25">
      <c r="A42" t="s">
        <v>386</v>
      </c>
      <c r="B42" t="str">
        <f t="shared" si="0"/>
        <v>Imbue</v>
      </c>
      <c r="C42" t="s">
        <v>387</v>
      </c>
      <c r="D42" t="s">
        <v>409</v>
      </c>
      <c r="E42" t="str">
        <f t="shared" si="1"/>
        <v>res://ui/rites/imbue.png</v>
      </c>
    </row>
    <row r="43" spans="1:7" x14ac:dyDescent="0.25">
      <c r="A43" t="s">
        <v>390</v>
      </c>
      <c r="B43" t="str">
        <f t="shared" si="0"/>
        <v>Sepsis</v>
      </c>
      <c r="C43" t="s">
        <v>391</v>
      </c>
      <c r="D43" t="s">
        <v>408</v>
      </c>
      <c r="E43" t="str">
        <f t="shared" si="1"/>
        <v>res://ui/rites/sepsis.png</v>
      </c>
    </row>
    <row r="44" spans="1:7" x14ac:dyDescent="0.25">
      <c r="A44" t="s">
        <v>392</v>
      </c>
      <c r="B44" t="str">
        <f t="shared" si="0"/>
        <v>Glacier</v>
      </c>
      <c r="C44" t="s">
        <v>393</v>
      </c>
      <c r="D44" t="s">
        <v>17</v>
      </c>
      <c r="E44" t="str">
        <f t="shared" si="1"/>
        <v>res://ui/rites/glacier.png</v>
      </c>
    </row>
    <row r="45" spans="1:7" x14ac:dyDescent="0.25">
      <c r="A45" t="s">
        <v>394</v>
      </c>
      <c r="B45" t="str">
        <f t="shared" si="0"/>
        <v>Hairpin</v>
      </c>
      <c r="C45" t="s">
        <v>395</v>
      </c>
      <c r="D45" t="s">
        <v>18</v>
      </c>
      <c r="E45" t="str">
        <f t="shared" si="1"/>
        <v>res://ui/rites/hairpin.png</v>
      </c>
    </row>
    <row r="46" spans="1:7" x14ac:dyDescent="0.25">
      <c r="A46" t="s">
        <v>396</v>
      </c>
      <c r="B46" t="str">
        <f t="shared" si="0"/>
        <v>Leftover</v>
      </c>
      <c r="C46" t="s">
        <v>397</v>
      </c>
      <c r="D46" t="s">
        <v>18</v>
      </c>
      <c r="E46" t="str">
        <f t="shared" si="1"/>
        <v>res://ui/rites/leftover.png</v>
      </c>
    </row>
    <row r="47" spans="1:7" x14ac:dyDescent="0.25">
      <c r="A47" t="s">
        <v>399</v>
      </c>
      <c r="B47" t="str">
        <f t="shared" si="0"/>
        <v>Daze</v>
      </c>
      <c r="C47" t="s">
        <v>398</v>
      </c>
      <c r="D47" t="s">
        <v>18</v>
      </c>
      <c r="E47" t="str">
        <f t="shared" si="1"/>
        <v>res://ui/rites/daze.png</v>
      </c>
    </row>
    <row r="48" spans="1:7" x14ac:dyDescent="0.25">
      <c r="A48" t="s">
        <v>402</v>
      </c>
      <c r="B48" t="str">
        <f t="shared" si="0"/>
        <v>Sickly</v>
      </c>
      <c r="C48" t="s">
        <v>403</v>
      </c>
      <c r="D48" t="s">
        <v>407</v>
      </c>
      <c r="E48" t="str">
        <f t="shared" si="1"/>
        <v>res://ui/rites/sickly.png</v>
      </c>
    </row>
    <row r="49" spans="1:7" x14ac:dyDescent="0.25">
      <c r="A49" t="s">
        <v>401</v>
      </c>
      <c r="B49" t="str">
        <f t="shared" si="0"/>
        <v>Wide</v>
      </c>
      <c r="C49" t="s">
        <v>400</v>
      </c>
      <c r="D49" t="s">
        <v>406</v>
      </c>
      <c r="E49" t="str">
        <f t="shared" si="1"/>
        <v>res://ui/rites/wide.png</v>
      </c>
    </row>
    <row r="50" spans="1:7" x14ac:dyDescent="0.25">
      <c r="A50" t="s">
        <v>259</v>
      </c>
      <c r="B50" t="str">
        <f t="shared" si="0"/>
        <v>Fright</v>
      </c>
      <c r="C50" t="s">
        <v>404</v>
      </c>
      <c r="D50" t="s">
        <v>405</v>
      </c>
      <c r="E50" t="str">
        <f t="shared" si="1"/>
        <v>res://ui/rites/fright.png</v>
      </c>
    </row>
    <row r="51" spans="1:7" x14ac:dyDescent="0.25">
      <c r="A51" t="s">
        <v>411</v>
      </c>
      <c r="B51" t="str">
        <f t="shared" si="0"/>
        <v>Fuse</v>
      </c>
      <c r="C51" t="s">
        <v>410</v>
      </c>
      <c r="D51" t="s">
        <v>405</v>
      </c>
      <c r="E51" t="str">
        <f t="shared" si="1"/>
        <v>res://ui/rites/fuse.png</v>
      </c>
    </row>
    <row r="52" spans="1:7" x14ac:dyDescent="0.25">
      <c r="A52" t="s">
        <v>413</v>
      </c>
      <c r="B52" t="str">
        <f t="shared" si="0"/>
        <v>Clearcut</v>
      </c>
      <c r="C52" t="s">
        <v>412</v>
      </c>
      <c r="D52" t="s">
        <v>420</v>
      </c>
      <c r="E52" t="str">
        <f t="shared" si="1"/>
        <v>res://ui/rites/clearcut.png</v>
      </c>
    </row>
    <row r="53" spans="1:7" x14ac:dyDescent="0.25">
      <c r="A53" t="s">
        <v>437</v>
      </c>
      <c r="B53" t="str">
        <f t="shared" si="0"/>
        <v>Assistance</v>
      </c>
      <c r="C53" t="s">
        <v>438</v>
      </c>
      <c r="D53" t="s">
        <v>439</v>
      </c>
      <c r="E53" t="str">
        <f t="shared" si="1"/>
        <v>res://ui/rites/assistance.png</v>
      </c>
      <c r="G53">
        <v>1</v>
      </c>
    </row>
  </sheetData>
  <autoFilter ref="A1:G18" xr:uid="{9F642FAC-7326-47E8-9F14-D9D50EC3456E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B17ED8"/>
  </sheetPr>
  <dimension ref="A1:C18"/>
  <sheetViews>
    <sheetView workbookViewId="0">
      <selection activeCell="D50" sqref="D50"/>
    </sheetView>
  </sheetViews>
  <sheetFormatPr defaultRowHeight="15" x14ac:dyDescent="0.25"/>
  <cols>
    <col min="1" max="1" width="16.140625" customWidth="1"/>
    <col min="2" max="2" width="9.28515625" bestFit="1" customWidth="1"/>
    <col min="3" max="3" width="46.42578125" customWidth="1"/>
  </cols>
  <sheetData>
    <row r="1" spans="1:3" x14ac:dyDescent="0.25">
      <c r="A1" s="3" t="s">
        <v>0</v>
      </c>
      <c r="B1" s="3" t="s">
        <v>1</v>
      </c>
      <c r="C1" s="3" t="s">
        <v>42</v>
      </c>
    </row>
    <row r="2" spans="1:3" x14ac:dyDescent="0.25">
      <c r="A2" t="s">
        <v>24</v>
      </c>
      <c r="B2" t="str">
        <f t="shared" ref="B2:B18" si="0">PROPER(SUBSTITUTE(A2,"_"," "))</f>
        <v>Wayward</v>
      </c>
      <c r="C2" t="s">
        <v>94</v>
      </c>
    </row>
    <row r="3" spans="1:3" x14ac:dyDescent="0.25">
      <c r="A3" t="s">
        <v>95</v>
      </c>
      <c r="B3" t="str">
        <f t="shared" si="0"/>
        <v>Attracted</v>
      </c>
      <c r="C3" t="s">
        <v>96</v>
      </c>
    </row>
    <row r="4" spans="1:3" x14ac:dyDescent="0.25">
      <c r="A4" t="s">
        <v>41</v>
      </c>
      <c r="B4" t="str">
        <f t="shared" si="0"/>
        <v>Spite</v>
      </c>
      <c r="C4" t="s">
        <v>97</v>
      </c>
    </row>
    <row r="5" spans="1:3" x14ac:dyDescent="0.25">
      <c r="A5" t="s">
        <v>98</v>
      </c>
      <c r="B5" t="str">
        <f t="shared" si="0"/>
        <v>Rooted</v>
      </c>
      <c r="C5" t="s">
        <v>99</v>
      </c>
    </row>
    <row r="6" spans="1:3" x14ac:dyDescent="0.25">
      <c r="A6" t="s">
        <v>100</v>
      </c>
      <c r="B6" t="str">
        <f t="shared" si="0"/>
        <v>Patrol</v>
      </c>
      <c r="C6" t="s">
        <v>101</v>
      </c>
    </row>
    <row r="7" spans="1:3" x14ac:dyDescent="0.25">
      <c r="A7" t="s">
        <v>102</v>
      </c>
      <c r="B7" t="str">
        <f t="shared" si="0"/>
        <v>Familiar</v>
      </c>
      <c r="C7" t="s">
        <v>103</v>
      </c>
    </row>
    <row r="8" spans="1:3" x14ac:dyDescent="0.25">
      <c r="A8" t="s">
        <v>104</v>
      </c>
      <c r="B8" t="str">
        <f t="shared" si="0"/>
        <v>Rail</v>
      </c>
      <c r="C8" t="s">
        <v>105</v>
      </c>
    </row>
    <row r="9" spans="1:3" x14ac:dyDescent="0.25">
      <c r="A9" t="s">
        <v>106</v>
      </c>
      <c r="B9" t="str">
        <f t="shared" si="0"/>
        <v>Tide</v>
      </c>
      <c r="C9" t="s">
        <v>107</v>
      </c>
    </row>
    <row r="10" spans="1:3" x14ac:dyDescent="0.25">
      <c r="A10" t="s">
        <v>108</v>
      </c>
      <c r="B10" t="str">
        <f t="shared" si="0"/>
        <v>Blink</v>
      </c>
      <c r="C10" t="s">
        <v>109</v>
      </c>
    </row>
    <row r="11" spans="1:3" x14ac:dyDescent="0.25">
      <c r="A11" t="s">
        <v>110</v>
      </c>
      <c r="B11" t="str">
        <f t="shared" si="0"/>
        <v>Loyal</v>
      </c>
      <c r="C11" t="s">
        <v>111</v>
      </c>
    </row>
    <row r="12" spans="1:3" x14ac:dyDescent="0.25">
      <c r="A12" t="s">
        <v>112</v>
      </c>
      <c r="B12" t="str">
        <f t="shared" si="0"/>
        <v>Hexed</v>
      </c>
      <c r="C12" t="s">
        <v>113</v>
      </c>
    </row>
    <row r="13" spans="1:3" x14ac:dyDescent="0.25">
      <c r="A13" t="s">
        <v>114</v>
      </c>
      <c r="B13" t="str">
        <f t="shared" si="0"/>
        <v>Stalker</v>
      </c>
      <c r="C13" t="s">
        <v>115</v>
      </c>
    </row>
    <row r="14" spans="1:3" x14ac:dyDescent="0.25">
      <c r="A14" t="s">
        <v>116</v>
      </c>
      <c r="B14" t="str">
        <f t="shared" si="0"/>
        <v>Herd</v>
      </c>
      <c r="C14" t="s">
        <v>117</v>
      </c>
    </row>
    <row r="15" spans="1:3" x14ac:dyDescent="0.25">
      <c r="A15" t="s">
        <v>118</v>
      </c>
      <c r="B15" t="str">
        <f t="shared" si="0"/>
        <v>Greedy</v>
      </c>
      <c r="C15" t="s">
        <v>119</v>
      </c>
    </row>
    <row r="16" spans="1:3" x14ac:dyDescent="0.25">
      <c r="A16" t="s">
        <v>120</v>
      </c>
      <c r="B16" t="str">
        <f t="shared" si="0"/>
        <v>Oathbound</v>
      </c>
      <c r="C16" t="s">
        <v>121</v>
      </c>
    </row>
    <row r="17" spans="1:3" x14ac:dyDescent="0.25">
      <c r="A17" t="s">
        <v>122</v>
      </c>
      <c r="B17" t="str">
        <f t="shared" si="0"/>
        <v>Echo</v>
      </c>
      <c r="C17" t="s">
        <v>123</v>
      </c>
    </row>
    <row r="18" spans="1:3" x14ac:dyDescent="0.25">
      <c r="A18" t="s">
        <v>124</v>
      </c>
      <c r="B18" t="str">
        <f t="shared" si="0"/>
        <v>Phasing</v>
      </c>
      <c r="C18" t="s">
        <v>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0.59999389629810485"/>
  </sheetPr>
  <dimension ref="A1:U5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26" sqref="F26"/>
    </sheetView>
  </sheetViews>
  <sheetFormatPr defaultRowHeight="15" x14ac:dyDescent="0.25"/>
  <cols>
    <col min="1" max="1" width="22.140625" bestFit="1" customWidth="1"/>
    <col min="2" max="2" width="19.85546875" customWidth="1"/>
    <col min="3" max="3" width="36.85546875" bestFit="1" customWidth="1"/>
    <col min="4" max="4" width="19.85546875" customWidth="1"/>
    <col min="5" max="5" width="45.140625" customWidth="1"/>
    <col min="6" max="11" width="13.140625" customWidth="1"/>
    <col min="12" max="12" width="18.5703125" customWidth="1"/>
    <col min="13" max="13" width="19.140625" customWidth="1"/>
    <col min="14" max="15" width="18.5703125" customWidth="1"/>
    <col min="16" max="16" width="17.28515625" customWidth="1"/>
    <col min="17" max="17" width="7.5703125" customWidth="1"/>
    <col min="18" max="18" width="18.5703125" customWidth="1"/>
    <col min="19" max="19" width="57.7109375" customWidth="1"/>
    <col min="20" max="20" width="63.7109375" customWidth="1"/>
  </cols>
  <sheetData>
    <row r="1" spans="1:21" x14ac:dyDescent="0.25">
      <c r="A1" s="3" t="s">
        <v>0</v>
      </c>
      <c r="B1" s="4" t="s">
        <v>1</v>
      </c>
      <c r="C1" s="4" t="s">
        <v>42</v>
      </c>
      <c r="D1" s="4" t="s">
        <v>126</v>
      </c>
      <c r="E1" s="4" t="s">
        <v>2</v>
      </c>
      <c r="F1" s="4" t="s">
        <v>127</v>
      </c>
      <c r="G1" s="4" t="s">
        <v>128</v>
      </c>
      <c r="H1" s="4" t="s">
        <v>129</v>
      </c>
      <c r="I1" s="4" t="s">
        <v>130</v>
      </c>
      <c r="J1" s="4" t="s">
        <v>131</v>
      </c>
      <c r="K1" s="4" t="s">
        <v>132</v>
      </c>
      <c r="L1" s="4" t="s">
        <v>133</v>
      </c>
      <c r="M1" s="4" t="s">
        <v>134</v>
      </c>
      <c r="N1" s="4" t="s">
        <v>135</v>
      </c>
      <c r="O1" s="3" t="s">
        <v>136</v>
      </c>
      <c r="P1" s="3" t="s">
        <v>137</v>
      </c>
      <c r="Q1" s="3" t="s">
        <v>138</v>
      </c>
      <c r="R1" s="3" t="s">
        <v>139</v>
      </c>
      <c r="S1" s="4" t="s">
        <v>140</v>
      </c>
      <c r="T1" s="4" t="s">
        <v>141</v>
      </c>
      <c r="U1" s="3" t="s">
        <v>21</v>
      </c>
    </row>
    <row r="2" spans="1:21" x14ac:dyDescent="0.25">
      <c r="A2" t="s">
        <v>142</v>
      </c>
      <c r="B2" t="str">
        <f t="shared" ref="B2:B33" si="0">PROPER(SUBSTITUTE(A2,"_"," "))</f>
        <v>Reception Desk</v>
      </c>
      <c r="C2" t="s">
        <v>143</v>
      </c>
      <c r="D2" t="s">
        <v>144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t="s">
        <v>145</v>
      </c>
      <c r="O2">
        <v>2</v>
      </c>
      <c r="T2" t="s">
        <v>146</v>
      </c>
      <c r="U2" t="b">
        <v>1</v>
      </c>
    </row>
    <row r="3" spans="1:21" x14ac:dyDescent="0.25">
      <c r="A3" s="7" t="s">
        <v>147</v>
      </c>
      <c r="B3" t="str">
        <f t="shared" si="0"/>
        <v>Straw Pallet</v>
      </c>
      <c r="C3" t="s">
        <v>148</v>
      </c>
      <c r="D3" t="s">
        <v>149</v>
      </c>
      <c r="F3" s="2">
        <v>1</v>
      </c>
      <c r="G3" s="2">
        <v>0</v>
      </c>
      <c r="H3" s="2">
        <v>1</v>
      </c>
      <c r="I3" s="2">
        <v>0</v>
      </c>
      <c r="J3" s="2">
        <v>0</v>
      </c>
      <c r="K3" s="2">
        <v>0</v>
      </c>
      <c r="L3" t="s">
        <v>145</v>
      </c>
      <c r="M3" t="s">
        <v>150</v>
      </c>
      <c r="O3">
        <v>2</v>
      </c>
      <c r="R3" t="b">
        <v>0</v>
      </c>
      <c r="U3" t="b">
        <v>0</v>
      </c>
    </row>
    <row r="4" spans="1:21" x14ac:dyDescent="0.25">
      <c r="A4" t="s">
        <v>151</v>
      </c>
      <c r="B4" t="str">
        <f t="shared" si="0"/>
        <v>Wood Frame Bed</v>
      </c>
      <c r="C4" t="s">
        <v>152</v>
      </c>
      <c r="D4" t="s">
        <v>149</v>
      </c>
      <c r="F4" s="2">
        <v>0</v>
      </c>
      <c r="G4" s="2">
        <v>0</v>
      </c>
      <c r="H4" s="2">
        <v>3</v>
      </c>
      <c r="I4" s="2">
        <v>0</v>
      </c>
      <c r="J4" s="2">
        <v>0</v>
      </c>
      <c r="K4" s="2">
        <v>0</v>
      </c>
      <c r="L4" t="s">
        <v>145</v>
      </c>
      <c r="M4" t="s">
        <v>150</v>
      </c>
      <c r="O4">
        <v>2</v>
      </c>
      <c r="R4" t="b">
        <v>0</v>
      </c>
      <c r="S4" t="s">
        <v>153</v>
      </c>
      <c r="T4" t="s">
        <v>154</v>
      </c>
      <c r="U4" t="b">
        <v>1</v>
      </c>
    </row>
    <row r="5" spans="1:21" x14ac:dyDescent="0.25">
      <c r="A5" t="s">
        <v>155</v>
      </c>
      <c r="B5" t="str">
        <f t="shared" si="0"/>
        <v>Bunk Bed</v>
      </c>
      <c r="C5" t="s">
        <v>156</v>
      </c>
      <c r="D5" t="s">
        <v>149</v>
      </c>
      <c r="F5" s="2">
        <v>0</v>
      </c>
      <c r="G5" s="2">
        <v>0</v>
      </c>
      <c r="H5" s="2">
        <v>3</v>
      </c>
      <c r="I5" s="2">
        <v>0</v>
      </c>
      <c r="J5" s="2">
        <v>0</v>
      </c>
      <c r="K5" s="2">
        <v>0</v>
      </c>
      <c r="L5" t="s">
        <v>145</v>
      </c>
      <c r="M5" t="s">
        <v>150</v>
      </c>
      <c r="O5">
        <v>2</v>
      </c>
      <c r="R5" t="b">
        <v>1</v>
      </c>
      <c r="S5" t="s">
        <v>157</v>
      </c>
      <c r="T5" t="s">
        <v>158</v>
      </c>
      <c r="U5" t="b">
        <v>1</v>
      </c>
    </row>
    <row r="6" spans="1:21" x14ac:dyDescent="0.25">
      <c r="A6" s="7" t="s">
        <v>159</v>
      </c>
      <c r="B6" t="str">
        <f t="shared" si="0"/>
        <v>Canopy Bed</v>
      </c>
      <c r="C6" t="s">
        <v>160</v>
      </c>
      <c r="D6" t="s">
        <v>149</v>
      </c>
      <c r="F6" s="2">
        <v>0</v>
      </c>
      <c r="G6" s="2">
        <v>0</v>
      </c>
      <c r="H6" s="2">
        <v>9</v>
      </c>
      <c r="I6" s="2">
        <v>0</v>
      </c>
      <c r="J6" s="2">
        <v>0</v>
      </c>
      <c r="K6" s="2">
        <v>0</v>
      </c>
      <c r="L6" t="s">
        <v>145</v>
      </c>
      <c r="M6" t="s">
        <v>150</v>
      </c>
      <c r="O6">
        <v>2</v>
      </c>
      <c r="R6" t="b">
        <v>0</v>
      </c>
      <c r="U6" t="b">
        <v>0</v>
      </c>
    </row>
    <row r="7" spans="1:21" x14ac:dyDescent="0.25">
      <c r="A7" t="s">
        <v>161</v>
      </c>
      <c r="B7" t="str">
        <f t="shared" si="0"/>
        <v>Budget Wardrobe</v>
      </c>
      <c r="C7" t="s">
        <v>162</v>
      </c>
      <c r="D7" t="s">
        <v>163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2</v>
      </c>
      <c r="L7" t="s">
        <v>145</v>
      </c>
      <c r="M7" t="s">
        <v>150</v>
      </c>
      <c r="O7">
        <v>3</v>
      </c>
      <c r="R7" t="b">
        <v>0</v>
      </c>
      <c r="S7" t="s">
        <v>164</v>
      </c>
      <c r="T7" t="s">
        <v>165</v>
      </c>
      <c r="U7" t="b">
        <v>1</v>
      </c>
    </row>
    <row r="8" spans="1:21" x14ac:dyDescent="0.25">
      <c r="A8" t="s">
        <v>166</v>
      </c>
      <c r="B8" t="str">
        <f t="shared" si="0"/>
        <v>Fine Wardrobe</v>
      </c>
      <c r="C8" t="s">
        <v>167</v>
      </c>
      <c r="D8" t="s">
        <v>163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4</v>
      </c>
      <c r="L8" t="s">
        <v>145</v>
      </c>
      <c r="M8" t="s">
        <v>150</v>
      </c>
      <c r="O8">
        <v>3</v>
      </c>
      <c r="R8" t="b">
        <v>0</v>
      </c>
      <c r="S8" t="s">
        <v>164</v>
      </c>
      <c r="T8" t="s">
        <v>168</v>
      </c>
      <c r="U8" t="b">
        <v>1</v>
      </c>
    </row>
    <row r="9" spans="1:21" x14ac:dyDescent="0.25">
      <c r="A9" t="s">
        <v>169</v>
      </c>
      <c r="B9" t="str">
        <f t="shared" si="0"/>
        <v>Ornate Wardrobe</v>
      </c>
      <c r="D9" t="s">
        <v>163</v>
      </c>
      <c r="E9" t="s">
        <v>170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7</v>
      </c>
      <c r="L9" t="s">
        <v>145</v>
      </c>
      <c r="M9" t="s">
        <v>150</v>
      </c>
      <c r="O9">
        <v>3</v>
      </c>
      <c r="R9" t="b">
        <v>0</v>
      </c>
      <c r="S9" t="s">
        <v>164</v>
      </c>
      <c r="T9" t="s">
        <v>171</v>
      </c>
      <c r="U9" t="b">
        <v>1</v>
      </c>
    </row>
    <row r="10" spans="1:21" x14ac:dyDescent="0.25">
      <c r="A10" s="7" t="s">
        <v>172</v>
      </c>
      <c r="B10" t="str">
        <f t="shared" si="0"/>
        <v>Night Stand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t="s">
        <v>145</v>
      </c>
      <c r="M10" t="s">
        <v>150</v>
      </c>
      <c r="O10">
        <v>1</v>
      </c>
      <c r="R10" t="b">
        <v>0</v>
      </c>
      <c r="U10" t="b">
        <v>0</v>
      </c>
    </row>
    <row r="11" spans="1:21" x14ac:dyDescent="0.25">
      <c r="A11" s="7" t="s">
        <v>173</v>
      </c>
      <c r="B11" t="str">
        <f t="shared" si="0"/>
        <v>Wash Basin</v>
      </c>
      <c r="E11" t="s">
        <v>174</v>
      </c>
      <c r="F11" s="2">
        <v>0</v>
      </c>
      <c r="G11" s="2">
        <v>0</v>
      </c>
      <c r="H11" s="2">
        <v>0</v>
      </c>
      <c r="I11" s="2">
        <v>0</v>
      </c>
      <c r="J11" s="2">
        <v>2</v>
      </c>
      <c r="K11" s="2">
        <v>0</v>
      </c>
      <c r="L11" t="s">
        <v>145</v>
      </c>
      <c r="M11" t="s">
        <v>150</v>
      </c>
      <c r="O11">
        <v>1</v>
      </c>
      <c r="R11" t="b">
        <v>0</v>
      </c>
      <c r="U11" t="b">
        <v>0</v>
      </c>
    </row>
    <row r="12" spans="1:21" x14ac:dyDescent="0.25">
      <c r="A12" s="7" t="s">
        <v>175</v>
      </c>
      <c r="B12" t="str">
        <f t="shared" si="0"/>
        <v>Artisan Rug</v>
      </c>
      <c r="E12" t="s">
        <v>176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4</v>
      </c>
      <c r="L12" t="s">
        <v>145</v>
      </c>
      <c r="O12">
        <v>2</v>
      </c>
      <c r="R12" t="b">
        <v>0</v>
      </c>
      <c r="U12" t="b">
        <v>0</v>
      </c>
    </row>
    <row r="13" spans="1:21" x14ac:dyDescent="0.25">
      <c r="A13" s="7" t="s">
        <v>177</v>
      </c>
      <c r="B13" t="str">
        <f t="shared" si="0"/>
        <v>Mirror</v>
      </c>
      <c r="E13" t="s">
        <v>178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3</v>
      </c>
      <c r="L13" t="s">
        <v>145</v>
      </c>
      <c r="M13" t="s">
        <v>150</v>
      </c>
      <c r="O13">
        <v>1</v>
      </c>
      <c r="R13" t="b">
        <v>0</v>
      </c>
      <c r="U13" t="b">
        <v>0</v>
      </c>
    </row>
    <row r="14" spans="1:21" x14ac:dyDescent="0.25">
      <c r="A14" s="7" t="s">
        <v>179</v>
      </c>
      <c r="B14" t="str">
        <f t="shared" si="0"/>
        <v>Trunk</v>
      </c>
      <c r="C14" t="s">
        <v>180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1</v>
      </c>
      <c r="L14" t="s">
        <v>145</v>
      </c>
      <c r="M14" t="s">
        <v>150</v>
      </c>
      <c r="O14">
        <v>2</v>
      </c>
      <c r="R14" t="b">
        <v>0</v>
      </c>
      <c r="U14" t="b">
        <v>0</v>
      </c>
    </row>
    <row r="15" spans="1:21" x14ac:dyDescent="0.25">
      <c r="A15" s="7" t="s">
        <v>181</v>
      </c>
      <c r="B15" t="str">
        <f t="shared" si="0"/>
        <v>Bookshelf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t="s">
        <v>145</v>
      </c>
      <c r="O15">
        <v>3</v>
      </c>
      <c r="R15" t="b">
        <v>0</v>
      </c>
      <c r="U15" t="b">
        <v>0</v>
      </c>
    </row>
    <row r="16" spans="1:21" x14ac:dyDescent="0.25">
      <c r="A16" s="7" t="s">
        <v>182</v>
      </c>
      <c r="B16" t="str">
        <f t="shared" si="0"/>
        <v>Privacy Screen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t="s">
        <v>145</v>
      </c>
      <c r="M16" t="s">
        <v>150</v>
      </c>
      <c r="O16">
        <v>1</v>
      </c>
      <c r="R16" t="b">
        <v>0</v>
      </c>
      <c r="U16" t="b">
        <v>0</v>
      </c>
    </row>
    <row r="17" spans="1:21" x14ac:dyDescent="0.25">
      <c r="A17" t="s">
        <v>183</v>
      </c>
      <c r="B17" t="str">
        <f t="shared" si="0"/>
        <v>Small Houseplant</v>
      </c>
      <c r="D17" t="s">
        <v>184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4</v>
      </c>
      <c r="L17" t="s">
        <v>145</v>
      </c>
      <c r="O17">
        <v>1</v>
      </c>
      <c r="R17" t="b">
        <v>0</v>
      </c>
      <c r="S17" t="s">
        <v>185</v>
      </c>
      <c r="T17" t="s">
        <v>186</v>
      </c>
      <c r="U17" t="b">
        <v>1</v>
      </c>
    </row>
    <row r="18" spans="1:21" x14ac:dyDescent="0.25">
      <c r="A18" s="7" t="s">
        <v>187</v>
      </c>
      <c r="B18" t="str">
        <f t="shared" si="0"/>
        <v>Big Houseplant</v>
      </c>
      <c r="E18" s="1" t="s">
        <v>188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6</v>
      </c>
      <c r="L18" t="s">
        <v>145</v>
      </c>
      <c r="O18">
        <v>2</v>
      </c>
      <c r="R18" t="b">
        <v>0</v>
      </c>
      <c r="U18" t="b">
        <v>0</v>
      </c>
    </row>
    <row r="19" spans="1:21" x14ac:dyDescent="0.25">
      <c r="A19" s="7" t="s">
        <v>189</v>
      </c>
      <c r="B19" t="str">
        <f t="shared" si="0"/>
        <v>Chamber Pot</v>
      </c>
      <c r="C19" t="s">
        <v>190</v>
      </c>
      <c r="F19" s="2">
        <v>0</v>
      </c>
      <c r="G19" s="2">
        <v>0</v>
      </c>
      <c r="H19" s="2">
        <v>0</v>
      </c>
      <c r="I19" s="2">
        <v>0</v>
      </c>
      <c r="J19" s="2">
        <v>3</v>
      </c>
      <c r="K19" s="2">
        <v>0</v>
      </c>
      <c r="L19" t="s">
        <v>145</v>
      </c>
      <c r="M19" t="s">
        <v>131</v>
      </c>
      <c r="O19">
        <v>1</v>
      </c>
      <c r="R19" t="b">
        <v>0</v>
      </c>
      <c r="U19" t="b">
        <v>0</v>
      </c>
    </row>
    <row r="20" spans="1:21" x14ac:dyDescent="0.25">
      <c r="A20" t="s">
        <v>191</v>
      </c>
      <c r="B20" t="str">
        <f t="shared" si="0"/>
        <v>Cooking Order Desk</v>
      </c>
      <c r="C20" t="s">
        <v>192</v>
      </c>
      <c r="D20" t="s">
        <v>193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t="s">
        <v>145</v>
      </c>
      <c r="M20" t="s">
        <v>194</v>
      </c>
      <c r="O20">
        <v>2</v>
      </c>
      <c r="R20" t="b">
        <v>0</v>
      </c>
      <c r="S20" t="s">
        <v>195</v>
      </c>
      <c r="T20" t="s">
        <v>196</v>
      </c>
      <c r="U20" t="b">
        <v>1</v>
      </c>
    </row>
    <row r="21" spans="1:21" x14ac:dyDescent="0.25">
      <c r="A21" t="s">
        <v>197</v>
      </c>
      <c r="B21" t="str">
        <f t="shared" si="0"/>
        <v>Cooking Couldron</v>
      </c>
      <c r="C21" t="s">
        <v>198</v>
      </c>
      <c r="D21" t="s">
        <v>199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t="s">
        <v>145</v>
      </c>
      <c r="M21" t="s">
        <v>200</v>
      </c>
      <c r="O21">
        <v>2</v>
      </c>
      <c r="R21" t="b">
        <v>0</v>
      </c>
      <c r="S21" t="s">
        <v>201</v>
      </c>
      <c r="T21" t="s">
        <v>202</v>
      </c>
      <c r="U21" t="b">
        <v>1</v>
      </c>
    </row>
    <row r="22" spans="1:21" x14ac:dyDescent="0.25">
      <c r="A22" t="s">
        <v>203</v>
      </c>
      <c r="B22" t="str">
        <f t="shared" si="0"/>
        <v>Small Seating Table</v>
      </c>
      <c r="D22" t="s">
        <v>204</v>
      </c>
      <c r="F22" s="2">
        <v>0</v>
      </c>
      <c r="G22" s="2">
        <v>0</v>
      </c>
      <c r="H22" s="2">
        <v>4</v>
      </c>
      <c r="I22" s="2">
        <v>0</v>
      </c>
      <c r="J22" s="2">
        <v>0</v>
      </c>
      <c r="K22" s="2">
        <v>0</v>
      </c>
      <c r="L22" t="s">
        <v>145</v>
      </c>
      <c r="M22" t="s">
        <v>194</v>
      </c>
      <c r="O22">
        <v>2</v>
      </c>
      <c r="R22" t="b">
        <v>0</v>
      </c>
      <c r="S22" t="s">
        <v>205</v>
      </c>
      <c r="T22" t="s">
        <v>206</v>
      </c>
      <c r="U22" t="b">
        <v>1</v>
      </c>
    </row>
    <row r="23" spans="1:21" x14ac:dyDescent="0.25">
      <c r="A23" t="s">
        <v>207</v>
      </c>
      <c r="B23" t="str">
        <f t="shared" si="0"/>
        <v>Pass Table</v>
      </c>
      <c r="C23" t="s">
        <v>208</v>
      </c>
      <c r="D23" t="s">
        <v>209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1</v>
      </c>
      <c r="L23" t="s">
        <v>145</v>
      </c>
      <c r="M23" t="s">
        <v>200</v>
      </c>
      <c r="O23">
        <v>2</v>
      </c>
      <c r="R23" t="b">
        <v>0</v>
      </c>
      <c r="S23" t="s">
        <v>210</v>
      </c>
      <c r="T23" t="s">
        <v>211</v>
      </c>
      <c r="U23" t="b">
        <v>1</v>
      </c>
    </row>
    <row r="24" spans="1:21" x14ac:dyDescent="0.25">
      <c r="A24" t="s">
        <v>212</v>
      </c>
      <c r="B24" t="str">
        <f t="shared" si="0"/>
        <v>Crate</v>
      </c>
      <c r="C24" t="s">
        <v>213</v>
      </c>
      <c r="D24" t="s">
        <v>214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t="s">
        <v>145</v>
      </c>
      <c r="O24">
        <v>2</v>
      </c>
      <c r="R24" t="b">
        <v>0</v>
      </c>
      <c r="S24" t="s">
        <v>215</v>
      </c>
      <c r="T24" t="s">
        <v>216</v>
      </c>
      <c r="U24" t="b">
        <v>1</v>
      </c>
    </row>
    <row r="25" spans="1:21" x14ac:dyDescent="0.25">
      <c r="A25" s="7" t="s">
        <v>217</v>
      </c>
      <c r="B25" t="str">
        <f t="shared" si="0"/>
        <v>Barrel</v>
      </c>
      <c r="C25" t="s">
        <v>213</v>
      </c>
      <c r="D25" t="s">
        <v>214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t="s">
        <v>145</v>
      </c>
      <c r="O25">
        <v>2</v>
      </c>
      <c r="R25" t="b">
        <v>0</v>
      </c>
      <c r="S25" t="s">
        <v>218</v>
      </c>
      <c r="T25" t="s">
        <v>219</v>
      </c>
      <c r="U25" t="b">
        <v>1</v>
      </c>
    </row>
    <row r="26" spans="1:21" x14ac:dyDescent="0.25">
      <c r="A26" t="s">
        <v>220</v>
      </c>
      <c r="B26" t="str">
        <f t="shared" si="0"/>
        <v>Wall Torch</v>
      </c>
      <c r="C26" t="s">
        <v>221</v>
      </c>
      <c r="D26" t="s">
        <v>222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t="s">
        <v>223</v>
      </c>
      <c r="O26">
        <v>0</v>
      </c>
      <c r="P26">
        <v>1.4</v>
      </c>
      <c r="R26" t="b">
        <v>0</v>
      </c>
      <c r="S26" t="s">
        <v>224</v>
      </c>
      <c r="T26" t="s">
        <v>225</v>
      </c>
      <c r="U26" t="b">
        <v>1</v>
      </c>
    </row>
    <row r="27" spans="1:21" x14ac:dyDescent="0.25">
      <c r="A27" t="s">
        <v>226</v>
      </c>
      <c r="B27" t="str">
        <f t="shared" si="0"/>
        <v>Condiment Shelf</v>
      </c>
      <c r="C27" t="s">
        <v>227</v>
      </c>
      <c r="D27" t="s">
        <v>228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2</v>
      </c>
      <c r="L27" t="s">
        <v>223</v>
      </c>
      <c r="M27" t="s">
        <v>200</v>
      </c>
      <c r="O27">
        <v>1</v>
      </c>
      <c r="P27" s="1">
        <v>4.4000000000000004</v>
      </c>
      <c r="R27" t="b">
        <v>0</v>
      </c>
      <c r="S27" t="s">
        <v>229</v>
      </c>
      <c r="T27" t="s">
        <v>230</v>
      </c>
      <c r="U27" t="b">
        <v>1</v>
      </c>
    </row>
    <row r="28" spans="1:21" x14ac:dyDescent="0.25">
      <c r="A28" t="s">
        <v>231</v>
      </c>
      <c r="B28" t="str">
        <f t="shared" si="0"/>
        <v>Condiment Shelf Small</v>
      </c>
      <c r="C28" t="s">
        <v>227</v>
      </c>
      <c r="D28" t="s">
        <v>228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1</v>
      </c>
      <c r="L28" t="s">
        <v>223</v>
      </c>
      <c r="M28" t="s">
        <v>200</v>
      </c>
      <c r="O28">
        <v>1</v>
      </c>
      <c r="P28" s="1">
        <v>4.4000000000000004</v>
      </c>
      <c r="R28" t="b">
        <v>0</v>
      </c>
      <c r="S28" t="s">
        <v>229</v>
      </c>
      <c r="T28" t="s">
        <v>232</v>
      </c>
      <c r="U28" t="b">
        <v>1</v>
      </c>
    </row>
    <row r="29" spans="1:21" x14ac:dyDescent="0.25">
      <c r="A29" t="s">
        <v>233</v>
      </c>
      <c r="B29" t="str">
        <f t="shared" si="0"/>
        <v>Hanging Frying Pans</v>
      </c>
      <c r="C29" t="s">
        <v>227</v>
      </c>
      <c r="D29" t="s">
        <v>228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t="s">
        <v>223</v>
      </c>
      <c r="M29" t="s">
        <v>200</v>
      </c>
      <c r="O29">
        <v>0</v>
      </c>
      <c r="R29" t="b">
        <v>0</v>
      </c>
    </row>
    <row r="30" spans="1:21" x14ac:dyDescent="0.25">
      <c r="A30" t="s">
        <v>234</v>
      </c>
      <c r="B30" t="str">
        <f t="shared" si="0"/>
        <v>Butcher Table</v>
      </c>
      <c r="D30" t="s">
        <v>235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3</v>
      </c>
      <c r="L30" t="s">
        <v>145</v>
      </c>
      <c r="M30" t="s">
        <v>200</v>
      </c>
      <c r="O30">
        <v>2</v>
      </c>
      <c r="R30" t="b">
        <v>0</v>
      </c>
    </row>
    <row r="31" spans="1:21" x14ac:dyDescent="0.25">
      <c r="A31" t="s">
        <v>236</v>
      </c>
      <c r="B31" t="str">
        <f t="shared" si="0"/>
        <v>Hanging Meat</v>
      </c>
      <c r="D31" t="s">
        <v>235</v>
      </c>
    </row>
    <row r="32" spans="1:21" x14ac:dyDescent="0.25">
      <c r="B32" t="str">
        <f t="shared" si="0"/>
        <v/>
      </c>
    </row>
    <row r="33" spans="2:2" x14ac:dyDescent="0.25">
      <c r="B33" t="str">
        <f t="shared" si="0"/>
        <v/>
      </c>
    </row>
    <row r="34" spans="2:2" x14ac:dyDescent="0.25">
      <c r="B34" t="str">
        <f t="shared" ref="B34:B53" si="1">PROPER(SUBSTITUTE(A34,"_"," "))</f>
        <v/>
      </c>
    </row>
    <row r="35" spans="2:2" x14ac:dyDescent="0.25">
      <c r="B35" t="str">
        <f t="shared" si="1"/>
        <v/>
      </c>
    </row>
    <row r="36" spans="2:2" x14ac:dyDescent="0.25">
      <c r="B36" t="str">
        <f t="shared" si="1"/>
        <v/>
      </c>
    </row>
    <row r="37" spans="2:2" x14ac:dyDescent="0.25">
      <c r="B37" t="str">
        <f t="shared" si="1"/>
        <v/>
      </c>
    </row>
    <row r="38" spans="2:2" x14ac:dyDescent="0.25">
      <c r="B38" t="str">
        <f t="shared" si="1"/>
        <v/>
      </c>
    </row>
    <row r="39" spans="2:2" x14ac:dyDescent="0.25">
      <c r="B39" t="str">
        <f t="shared" si="1"/>
        <v/>
      </c>
    </row>
    <row r="40" spans="2:2" x14ac:dyDescent="0.25">
      <c r="B40" t="str">
        <f t="shared" si="1"/>
        <v/>
      </c>
    </row>
    <row r="41" spans="2:2" x14ac:dyDescent="0.25">
      <c r="B41" t="str">
        <f t="shared" si="1"/>
        <v/>
      </c>
    </row>
    <row r="42" spans="2:2" x14ac:dyDescent="0.25">
      <c r="B42" t="str">
        <f t="shared" si="1"/>
        <v/>
      </c>
    </row>
    <row r="43" spans="2:2" x14ac:dyDescent="0.25">
      <c r="B43" t="str">
        <f t="shared" si="1"/>
        <v/>
      </c>
    </row>
    <row r="44" spans="2:2" x14ac:dyDescent="0.25">
      <c r="B44" t="str">
        <f t="shared" si="1"/>
        <v/>
      </c>
    </row>
    <row r="45" spans="2:2" x14ac:dyDescent="0.25">
      <c r="B45" t="str">
        <f t="shared" si="1"/>
        <v/>
      </c>
    </row>
    <row r="46" spans="2:2" x14ac:dyDescent="0.25">
      <c r="B46" t="str">
        <f t="shared" si="1"/>
        <v/>
      </c>
    </row>
    <row r="47" spans="2:2" x14ac:dyDescent="0.25">
      <c r="B47" t="str">
        <f t="shared" si="1"/>
        <v/>
      </c>
    </row>
    <row r="48" spans="2:2" x14ac:dyDescent="0.25">
      <c r="B48" t="str">
        <f t="shared" si="1"/>
        <v/>
      </c>
    </row>
    <row r="49" spans="2:2" x14ac:dyDescent="0.25">
      <c r="B49" t="str">
        <f t="shared" si="1"/>
        <v/>
      </c>
    </row>
    <row r="50" spans="2:2" x14ac:dyDescent="0.25">
      <c r="B50" t="str">
        <f t="shared" si="1"/>
        <v/>
      </c>
    </row>
    <row r="51" spans="2:2" x14ac:dyDescent="0.25">
      <c r="B51" t="str">
        <f t="shared" si="1"/>
        <v/>
      </c>
    </row>
    <row r="52" spans="2:2" x14ac:dyDescent="0.25">
      <c r="B52" t="str">
        <f t="shared" si="1"/>
        <v/>
      </c>
    </row>
    <row r="53" spans="2:2" x14ac:dyDescent="0.25">
      <c r="B53" t="str">
        <f t="shared" si="1"/>
        <v/>
      </c>
    </row>
  </sheetData>
  <autoFilter ref="A1:U53" xr:uid="{00000000-0009-0000-0000-000004000000}"/>
  <conditionalFormatting sqref="F2:K2">
    <cfRule type="colorScale" priority="2">
      <colorScale>
        <cfvo type="num" val="1"/>
        <cfvo type="num" val="5"/>
        <cfvo type="num" val="10"/>
        <color rgb="FFFAA0A2"/>
        <color rgb="FFFFEB84"/>
        <color rgb="FF63BE7B"/>
      </colorScale>
    </cfRule>
  </conditionalFormatting>
  <conditionalFormatting sqref="F2:K104">
    <cfRule type="cellIs" dxfId="0" priority="1" operator="equal">
      <formula>0</formula>
    </cfRule>
  </conditionalFormatting>
  <conditionalFormatting sqref="F3:K104">
    <cfRule type="colorScale" priority="3">
      <colorScale>
        <cfvo type="num" val="1"/>
        <cfvo type="num" val="5"/>
        <cfvo type="num" val="10"/>
        <color rgb="FFFAA0A2"/>
        <color rgb="FFFFEB84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6" tint="-0.249977111117893"/>
  </sheetPr>
  <dimension ref="A2:F2"/>
  <sheetViews>
    <sheetView workbookViewId="0">
      <pane ySplit="1" topLeftCell="A2" activePane="bottomLeft" state="frozen"/>
      <selection pane="bottomLeft" activeCell="F3" sqref="F3"/>
    </sheetView>
  </sheetViews>
  <sheetFormatPr defaultRowHeight="15" x14ac:dyDescent="0.25"/>
  <cols>
    <col min="2" max="2" width="17.28515625" customWidth="1"/>
  </cols>
  <sheetData>
    <row r="2" spans="1:6" ht="15.6" customHeight="1" x14ac:dyDescent="0.25">
      <c r="A2" s="5" t="s">
        <v>237</v>
      </c>
      <c r="B2" s="3" t="s">
        <v>238</v>
      </c>
      <c r="C2" t="s">
        <v>28</v>
      </c>
      <c r="D2" t="s">
        <v>34</v>
      </c>
      <c r="E2" t="s">
        <v>27</v>
      </c>
      <c r="F2" t="s">
        <v>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6" tint="-0.249977111117893"/>
  </sheetPr>
  <dimension ref="A1:C50"/>
  <sheetViews>
    <sheetView workbookViewId="0">
      <pane ySplit="1" topLeftCell="A20" activePane="bottomLeft" state="frozen"/>
      <selection pane="bottomLeft" activeCell="C35" sqref="C35"/>
    </sheetView>
  </sheetViews>
  <sheetFormatPr defaultRowHeight="15" x14ac:dyDescent="0.25"/>
  <cols>
    <col min="1" max="2" width="14.7109375" customWidth="1"/>
  </cols>
  <sheetData>
    <row r="1" spans="1:3" x14ac:dyDescent="0.25">
      <c r="A1" t="s">
        <v>239</v>
      </c>
      <c r="B1" t="s">
        <v>240</v>
      </c>
      <c r="C1" t="s">
        <v>126</v>
      </c>
    </row>
    <row r="2" spans="1:3" x14ac:dyDescent="0.25">
      <c r="A2" s="11" t="s">
        <v>237</v>
      </c>
      <c r="B2" s="11" t="s">
        <v>0</v>
      </c>
      <c r="C2" s="11" t="s">
        <v>241</v>
      </c>
    </row>
    <row r="3" spans="1:3" x14ac:dyDescent="0.25">
      <c r="A3" s="11" t="s">
        <v>237</v>
      </c>
      <c r="B3" s="11" t="s">
        <v>1</v>
      </c>
      <c r="C3" s="11" t="s">
        <v>241</v>
      </c>
    </row>
    <row r="4" spans="1:3" x14ac:dyDescent="0.25">
      <c r="A4" s="11" t="s">
        <v>237</v>
      </c>
      <c r="B4" s="11" t="s">
        <v>2</v>
      </c>
      <c r="C4" s="11" t="s">
        <v>241</v>
      </c>
    </row>
    <row r="5" spans="1:3" x14ac:dyDescent="0.25">
      <c r="A5" s="11" t="s">
        <v>237</v>
      </c>
      <c r="B5" s="11" t="s">
        <v>3</v>
      </c>
      <c r="C5" s="11" t="s">
        <v>241</v>
      </c>
    </row>
    <row r="6" spans="1:3" x14ac:dyDescent="0.25">
      <c r="A6" s="11" t="s">
        <v>237</v>
      </c>
      <c r="B6" s="11" t="s">
        <v>4</v>
      </c>
      <c r="C6" s="11" t="s">
        <v>241</v>
      </c>
    </row>
    <row r="7" spans="1:3" x14ac:dyDescent="0.25">
      <c r="A7" s="11" t="s">
        <v>237</v>
      </c>
      <c r="B7" s="11" t="s">
        <v>5</v>
      </c>
      <c r="C7" s="11" t="s">
        <v>241</v>
      </c>
    </row>
    <row r="8" spans="1:3" x14ac:dyDescent="0.25">
      <c r="A8" s="11" t="s">
        <v>237</v>
      </c>
      <c r="B8" s="11" t="s">
        <v>7</v>
      </c>
      <c r="C8" s="11" t="s">
        <v>241</v>
      </c>
    </row>
    <row r="9" spans="1:3" x14ac:dyDescent="0.25">
      <c r="A9" s="11" t="s">
        <v>237</v>
      </c>
      <c r="B9" s="11" t="s">
        <v>8</v>
      </c>
      <c r="C9" s="11" t="s">
        <v>242</v>
      </c>
    </row>
    <row r="10" spans="1:3" x14ac:dyDescent="0.25">
      <c r="A10" s="11" t="s">
        <v>237</v>
      </c>
      <c r="B10" s="11" t="s">
        <v>9</v>
      </c>
      <c r="C10" s="11" t="s">
        <v>242</v>
      </c>
    </row>
    <row r="11" spans="1:3" x14ac:dyDescent="0.25">
      <c r="A11" s="11" t="s">
        <v>237</v>
      </c>
      <c r="B11" s="11" t="s">
        <v>14</v>
      </c>
      <c r="C11" s="11" t="s">
        <v>242</v>
      </c>
    </row>
    <row r="12" spans="1:3" x14ac:dyDescent="0.25">
      <c r="A12" s="11" t="s">
        <v>237</v>
      </c>
      <c r="B12" s="11" t="s">
        <v>12</v>
      </c>
      <c r="C12" s="11" t="s">
        <v>242</v>
      </c>
    </row>
    <row r="13" spans="1:3" x14ac:dyDescent="0.25">
      <c r="A13" s="11" t="s">
        <v>237</v>
      </c>
      <c r="B13" s="11" t="s">
        <v>13</v>
      </c>
      <c r="C13" s="11" t="s">
        <v>242</v>
      </c>
    </row>
    <row r="14" spans="1:3" x14ac:dyDescent="0.25">
      <c r="A14" s="11" t="s">
        <v>237</v>
      </c>
      <c r="B14" s="11" t="s">
        <v>10</v>
      </c>
      <c r="C14" s="11" t="s">
        <v>242</v>
      </c>
    </row>
    <row r="15" spans="1:3" x14ac:dyDescent="0.25">
      <c r="A15" s="11" t="s">
        <v>237</v>
      </c>
      <c r="B15" s="11" t="s">
        <v>11</v>
      </c>
      <c r="C15" s="11" t="s">
        <v>242</v>
      </c>
    </row>
    <row r="16" spans="1:3" x14ac:dyDescent="0.25">
      <c r="A16" s="11" t="s">
        <v>237</v>
      </c>
      <c r="B16" s="11" t="s">
        <v>15</v>
      </c>
      <c r="C16" s="11" t="s">
        <v>242</v>
      </c>
    </row>
    <row r="17" spans="1:3" x14ac:dyDescent="0.25">
      <c r="A17" s="11" t="s">
        <v>237</v>
      </c>
      <c r="B17" s="11" t="s">
        <v>16</v>
      </c>
      <c r="C17" s="11" t="s">
        <v>243</v>
      </c>
    </row>
    <row r="18" spans="1:3" x14ac:dyDescent="0.25">
      <c r="A18" s="11" t="s">
        <v>237</v>
      </c>
      <c r="B18" s="11" t="s">
        <v>17</v>
      </c>
      <c r="C18" s="11" t="s">
        <v>243</v>
      </c>
    </row>
    <row r="19" spans="1:3" x14ac:dyDescent="0.25">
      <c r="A19" s="11" t="s">
        <v>237</v>
      </c>
      <c r="B19" s="11" t="s">
        <v>18</v>
      </c>
      <c r="C19" s="11" t="s">
        <v>243</v>
      </c>
    </row>
    <row r="20" spans="1:3" x14ac:dyDescent="0.25">
      <c r="A20" s="11" t="s">
        <v>237</v>
      </c>
      <c r="B20" s="11" t="s">
        <v>19</v>
      </c>
      <c r="C20" s="11" t="s">
        <v>243</v>
      </c>
    </row>
    <row r="21" spans="1:3" x14ac:dyDescent="0.25">
      <c r="A21" s="11" t="s">
        <v>237</v>
      </c>
      <c r="B21" s="11" t="s">
        <v>20</v>
      </c>
      <c r="C21" s="11" t="s">
        <v>241</v>
      </c>
    </row>
    <row r="22" spans="1:3" x14ac:dyDescent="0.25">
      <c r="A22" s="11" t="s">
        <v>237</v>
      </c>
      <c r="B22" s="11" t="s">
        <v>21</v>
      </c>
      <c r="C22" s="11" t="s">
        <v>244</v>
      </c>
    </row>
    <row r="23" spans="1:3" x14ac:dyDescent="0.25">
      <c r="A23" s="12" t="s">
        <v>245</v>
      </c>
      <c r="B23" s="12" t="s">
        <v>0</v>
      </c>
      <c r="C23" s="12" t="s">
        <v>241</v>
      </c>
    </row>
    <row r="24" spans="1:3" x14ac:dyDescent="0.25">
      <c r="A24" s="12" t="s">
        <v>245</v>
      </c>
      <c r="B24" s="12" t="s">
        <v>1</v>
      </c>
      <c r="C24" s="12" t="s">
        <v>241</v>
      </c>
    </row>
    <row r="25" spans="1:3" x14ac:dyDescent="0.25">
      <c r="A25" s="12" t="s">
        <v>245</v>
      </c>
      <c r="B25" s="12" t="s">
        <v>42</v>
      </c>
      <c r="C25" s="12" t="s">
        <v>241</v>
      </c>
    </row>
    <row r="26" spans="1:3" x14ac:dyDescent="0.25">
      <c r="A26" s="12" t="s">
        <v>245</v>
      </c>
      <c r="B26" s="12" t="s">
        <v>43</v>
      </c>
      <c r="C26" s="12" t="s">
        <v>241</v>
      </c>
    </row>
    <row r="27" spans="1:3" x14ac:dyDescent="0.25">
      <c r="A27" s="12" t="s">
        <v>245</v>
      </c>
      <c r="B27" s="12" t="s">
        <v>44</v>
      </c>
      <c r="C27" s="12" t="s">
        <v>241</v>
      </c>
    </row>
    <row r="28" spans="1:3" x14ac:dyDescent="0.25">
      <c r="A28" s="12" t="s">
        <v>245</v>
      </c>
      <c r="B28" s="12" t="s">
        <v>45</v>
      </c>
      <c r="C28" s="12" t="s">
        <v>242</v>
      </c>
    </row>
    <row r="29" spans="1:3" x14ac:dyDescent="0.25">
      <c r="A29" s="12" t="s">
        <v>245</v>
      </c>
      <c r="B29" s="12" t="s">
        <v>46</v>
      </c>
      <c r="C29" s="12" t="s">
        <v>242</v>
      </c>
    </row>
    <row r="30" spans="1:3" x14ac:dyDescent="0.25">
      <c r="A30" s="12" t="s">
        <v>245</v>
      </c>
      <c r="B30" s="12" t="s">
        <v>47</v>
      </c>
      <c r="C30" s="12" t="s">
        <v>242</v>
      </c>
    </row>
    <row r="31" spans="1:3" x14ac:dyDescent="0.25">
      <c r="A31" s="12" t="s">
        <v>245</v>
      </c>
      <c r="B31" s="12" t="s">
        <v>20</v>
      </c>
      <c r="C31" s="12" t="s">
        <v>241</v>
      </c>
    </row>
    <row r="32" spans="1:3" x14ac:dyDescent="0.25">
      <c r="A32" s="16" t="s">
        <v>44</v>
      </c>
      <c r="B32" s="16" t="s">
        <v>0</v>
      </c>
      <c r="C32" s="16" t="s">
        <v>241</v>
      </c>
    </row>
    <row r="33" spans="1:3" x14ac:dyDescent="0.25">
      <c r="A33" s="16" t="s">
        <v>44</v>
      </c>
      <c r="B33" s="16" t="s">
        <v>1</v>
      </c>
      <c r="C33" s="16" t="s">
        <v>241</v>
      </c>
    </row>
    <row r="34" spans="1:3" x14ac:dyDescent="0.25">
      <c r="A34" s="16" t="s">
        <v>44</v>
      </c>
      <c r="B34" s="16" t="s">
        <v>42</v>
      </c>
      <c r="C34" s="16" t="s">
        <v>241</v>
      </c>
    </row>
    <row r="35" spans="1:3" x14ac:dyDescent="0.25">
      <c r="A35" s="15" t="s">
        <v>246</v>
      </c>
      <c r="B35" s="15" t="s">
        <v>0</v>
      </c>
      <c r="C35" s="15" t="s">
        <v>241</v>
      </c>
    </row>
    <row r="36" spans="1:3" x14ac:dyDescent="0.25">
      <c r="A36" s="15" t="s">
        <v>246</v>
      </c>
      <c r="B36" s="15" t="s">
        <v>1</v>
      </c>
      <c r="C36" s="15" t="s">
        <v>241</v>
      </c>
    </row>
    <row r="37" spans="1:3" x14ac:dyDescent="0.25">
      <c r="A37" s="15" t="s">
        <v>246</v>
      </c>
      <c r="B37" s="15" t="s">
        <v>60</v>
      </c>
      <c r="C37" s="15" t="s">
        <v>241</v>
      </c>
    </row>
    <row r="38" spans="1:3" x14ac:dyDescent="0.25">
      <c r="A38" s="15" t="s">
        <v>246</v>
      </c>
      <c r="B38" s="15" t="s">
        <v>42</v>
      </c>
      <c r="C38" s="15" t="s">
        <v>241</v>
      </c>
    </row>
    <row r="39" spans="1:3" x14ac:dyDescent="0.25">
      <c r="A39" s="15" t="s">
        <v>246</v>
      </c>
      <c r="B39" s="15" t="s">
        <v>3</v>
      </c>
      <c r="C39" s="15" t="s">
        <v>241</v>
      </c>
    </row>
    <row r="40" spans="1:3" x14ac:dyDescent="0.25">
      <c r="A40" s="15" t="s">
        <v>246</v>
      </c>
      <c r="B40" s="15" t="s">
        <v>4</v>
      </c>
      <c r="C40" s="15" t="s">
        <v>241</v>
      </c>
    </row>
    <row r="41" spans="1:3" ht="15.75" customHeight="1" x14ac:dyDescent="0.25">
      <c r="A41" s="15" t="s">
        <v>246</v>
      </c>
      <c r="B41" s="15" t="s">
        <v>5</v>
      </c>
      <c r="C41" s="15" t="s">
        <v>241</v>
      </c>
    </row>
    <row r="42" spans="1:3" ht="15.75" customHeight="1" x14ac:dyDescent="0.25">
      <c r="A42" s="15" t="s">
        <v>246</v>
      </c>
      <c r="B42" s="15" t="s">
        <v>21</v>
      </c>
      <c r="C42" s="15" t="s">
        <v>244</v>
      </c>
    </row>
    <row r="43" spans="1:3" x14ac:dyDescent="0.25">
      <c r="A43" s="14" t="s">
        <v>325</v>
      </c>
      <c r="B43" s="14" t="s">
        <v>0</v>
      </c>
      <c r="C43" s="14" t="s">
        <v>241</v>
      </c>
    </row>
    <row r="44" spans="1:3" x14ac:dyDescent="0.25">
      <c r="A44" s="14" t="s">
        <v>325</v>
      </c>
      <c r="B44" s="14" t="s">
        <v>1</v>
      </c>
      <c r="C44" s="14" t="s">
        <v>241</v>
      </c>
    </row>
    <row r="45" spans="1:3" x14ac:dyDescent="0.25">
      <c r="A45" s="14" t="s">
        <v>325</v>
      </c>
      <c r="B45" s="14" t="s">
        <v>42</v>
      </c>
      <c r="C45" s="14" t="s">
        <v>241</v>
      </c>
    </row>
    <row r="46" spans="1:3" x14ac:dyDescent="0.25">
      <c r="A46" s="14" t="s">
        <v>325</v>
      </c>
      <c r="B46" s="14" t="s">
        <v>321</v>
      </c>
      <c r="C46" s="14" t="s">
        <v>241</v>
      </c>
    </row>
    <row r="47" spans="1:3" x14ac:dyDescent="0.25">
      <c r="A47" s="14" t="s">
        <v>325</v>
      </c>
      <c r="B47" s="14" t="s">
        <v>21</v>
      </c>
      <c r="C47" s="14" t="s">
        <v>244</v>
      </c>
    </row>
    <row r="48" spans="1:3" x14ac:dyDescent="0.25">
      <c r="A48" s="17" t="s">
        <v>7</v>
      </c>
      <c r="B48" s="17" t="s">
        <v>0</v>
      </c>
      <c r="C48" s="17" t="s">
        <v>241</v>
      </c>
    </row>
    <row r="49" spans="1:3" x14ac:dyDescent="0.25">
      <c r="A49" s="17" t="s">
        <v>7</v>
      </c>
      <c r="B49" s="17" t="s">
        <v>1</v>
      </c>
      <c r="C49" s="17" t="s">
        <v>241</v>
      </c>
    </row>
    <row r="50" spans="1:3" x14ac:dyDescent="0.25">
      <c r="A50" s="17" t="s">
        <v>7</v>
      </c>
      <c r="B50" s="17" t="s">
        <v>42</v>
      </c>
      <c r="C50" s="17" t="s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orbs</vt:lpstr>
      <vt:lpstr>glyphs</vt:lpstr>
      <vt:lpstr>attribute</vt:lpstr>
      <vt:lpstr>attunements</vt:lpstr>
      <vt:lpstr>rites</vt:lpstr>
      <vt:lpstr>motion</vt:lpstr>
      <vt:lpstr>objects_OLD</vt:lpstr>
      <vt:lpstr>input</vt:lpstr>
      <vt:lpstr>schema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Bååth</dc:creator>
  <cp:lastModifiedBy>David Bååth</cp:lastModifiedBy>
  <dcterms:created xsi:type="dcterms:W3CDTF">2015-06-05T18:17:20Z</dcterms:created>
  <dcterms:modified xsi:type="dcterms:W3CDTF">2026-09-28T07:57:28Z</dcterms:modified>
</cp:coreProperties>
</file>