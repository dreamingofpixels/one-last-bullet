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One Last Bullet\project\data\"/>
    </mc:Choice>
  </mc:AlternateContent>
  <xr:revisionPtr revIDLastSave="0" documentId="13_ncr:1_{5E966BF6-55EF-4B8C-95B8-116087FE6D6E}" xr6:coauthVersionLast="47" xr6:coauthVersionMax="47" xr10:uidLastSave="{00000000-0000-0000-0000-000000000000}"/>
  <bookViews>
    <workbookView xWindow="7125" yWindow="4230" windowWidth="28800" windowHeight="15345" tabRatio="696" xr2:uid="{00000000-000D-0000-FFFF-FFFF00000000}"/>
  </bookViews>
  <sheets>
    <sheet name="orbs" sheetId="1" r:id="rId1"/>
    <sheet name="glyphs" sheetId="15" r:id="rId2"/>
    <sheet name="motion" sheetId="16" r:id="rId3"/>
    <sheet name="objects_OLD" sheetId="3" state="hidden" r:id="rId4"/>
    <sheet name="input" sheetId="13" r:id="rId5"/>
    <sheet name="schema" sheetId="14" r:id="rId6"/>
  </sheets>
  <definedNames>
    <definedName name="_xlnm._FilterDatabase" localSheetId="3" hidden="1">objects_OLD!$A$1:$U$53</definedName>
    <definedName name="_xlnm._FilterDatabase" localSheetId="0" hidden="1">orbs!$A$1:$R$44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6" l="1"/>
  <c r="B3" i="15"/>
  <c r="B4" i="15"/>
  <c r="B5" i="15"/>
  <c r="B6" i="15"/>
  <c r="B7" i="15"/>
  <c r="B8" i="15"/>
  <c r="B9" i="15"/>
  <c r="B10" i="15"/>
  <c r="B11" i="15"/>
  <c r="B12" i="15"/>
  <c r="B13" i="15"/>
  <c r="B2" i="15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<sst xmlns="http://schemas.openxmlformats.org/spreadsheetml/2006/main" count="397" uniqueCount="217">
  <si>
    <t>id</t>
  </si>
  <si>
    <t>name</t>
  </si>
  <si>
    <t>desc</t>
  </si>
  <si>
    <t>type</t>
  </si>
  <si>
    <t>effect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</si>
  <si>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</si>
  <si>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</si>
  <si>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</si>
  <si>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</si>
  <si>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</si>
  <si>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</si>
  <si>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</si>
  <si>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</si>
  <si>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</si>
  <si>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active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</si>
  <si>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</si>
  <si>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</si>
  <si>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</si>
  <si>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</si>
  <si>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</si>
  <si>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</si>
  <si>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</si>
  <si>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</si>
  <si>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</si>
  <si>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</si>
  <si>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</si>
  <si>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</si>
  <si>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</si>
  <si>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</si>
  <si>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</si>
  <si>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</si>
  <si>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</si>
  <si>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</si>
  <si>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</si>
  <si>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</si>
  <si>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</si>
  <si>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</si>
  <si>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</si>
  <si>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</si>
  <si>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</si>
  <si>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</si>
  <si>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</si>
  <si>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</si>
  <si>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</si>
  <si>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</si>
  <si>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</si>
  <si>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</si>
  <si>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</si>
  <si>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</si>
  <si>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</si>
  <si>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</si>
  <si>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</si>
  <si>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</si>
  <si>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</si>
  <si>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</si>
  <si>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</si>
  <si>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</si>
  <si>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</si>
  <si>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</si>
  <si>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</si>
  <si>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chamber_pot</t>
  </si>
  <si>
    <t>For relieving oneself</t>
  </si>
  <si>
    <t>hygiene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</si>
  <si>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</si>
  <si>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</si>
  <si>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</si>
  <si>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</si>
  <si>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</si>
  <si>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</si>
  <si>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</si>
  <si>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</si>
  <si>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</si>
  <si>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</si>
  <si>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</si>
  <si>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</si>
  <si>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</si>
  <si>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</si>
  <si>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</si>
  <si>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</si>
  <si>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</si>
  <si>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</si>
  <si>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</si>
  <si>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</si>
  <si>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</si>
  <si>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</si>
  <si>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</si>
  <si>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</si>
  <si>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</si>
  <si>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</si>
  <si>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</si>
  <si>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</si>
  <si>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</si>
  <si>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</si>
  <si>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</si>
  <si>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</si>
  <si>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</si>
  <si>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</si>
  <si>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</si>
  <si>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</si>
  <si>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</si>
  <si>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</si>
  <si>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</si>
  <si>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</si>
  <si>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</si>
  <si>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</si>
  <si>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</si>
  <si>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</si>
  <si>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</si>
  <si>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</si>
  <si>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scene_path</t>
  </si>
  <si>
    <t>fun</t>
  </si>
  <si>
    <t>nourishment</t>
  </si>
  <si>
    <t>comfort</t>
  </si>
  <si>
    <t>security</t>
  </si>
  <si>
    <t>decor</t>
  </si>
  <si>
    <t>Increases all decor in the room by 10%</t>
  </si>
  <si>
    <t>+1 decor for every plant in the room</t>
  </si>
  <si>
    <t>sheet</t>
  </si>
  <si>
    <t>column</t>
  </si>
  <si>
    <t>string</t>
  </si>
  <si>
    <t>int</t>
  </si>
  <si>
    <t>boolean</t>
  </si>
  <si>
    <t>float</t>
  </si>
  <si>
    <t>orbs</t>
  </si>
  <si>
    <t>Standard orb with no effect</t>
  </si>
  <si>
    <t>Burn on enemy hit</t>
  </si>
  <si>
    <t>Fire</t>
  </si>
  <si>
    <t>Damage</t>
  </si>
  <si>
    <t>On hit, that % of the damage also hits nearby enemies</t>
  </si>
  <si>
    <t>Chill enemy on hit</t>
  </si>
  <si>
    <t>Water</t>
  </si>
  <si>
    <t>This orb deals less damage to players</t>
  </si>
  <si>
    <t>Shock on enemy hit</t>
  </si>
  <si>
    <t>Air</t>
  </si>
  <si>
    <t>Critical chance</t>
  </si>
  <si>
    <t>Decreases speed</t>
  </si>
  <si>
    <t>Poison on enemy hit</t>
  </si>
  <si>
    <t>Earth</t>
  </si>
  <si>
    <t>Increases weight</t>
  </si>
  <si>
    <t>Critical damage</t>
  </si>
  <si>
    <t>rarity_common</t>
  </si>
  <si>
    <t>rarity_rare</t>
  </si>
  <si>
    <t>rarity_unique</t>
  </si>
  <si>
    <t>coal</t>
  </si>
  <si>
    <t>fury</t>
  </si>
  <si>
    <t>blast</t>
  </si>
  <si>
    <t>rime</t>
  </si>
  <si>
    <t>soft</t>
  </si>
  <si>
    <t>bounty</t>
  </si>
  <si>
    <t>static</t>
  </si>
  <si>
    <t>drag</t>
  </si>
  <si>
    <t>blight</t>
  </si>
  <si>
    <t>dense</t>
  </si>
  <si>
    <t>crush</t>
  </si>
  <si>
    <t>element</t>
  </si>
  <si>
    <t>shear</t>
  </si>
  <si>
    <t>damage</t>
  </si>
  <si>
    <t>self_damage</t>
  </si>
  <si>
    <t>splash</t>
  </si>
  <si>
    <t>speed</t>
  </si>
  <si>
    <t>weight</t>
  </si>
  <si>
    <t>crit_chance</t>
  </si>
  <si>
    <t>crit_damage</t>
  </si>
  <si>
    <t>burn</t>
  </si>
  <si>
    <t>chill</t>
  </si>
  <si>
    <t>shock</t>
  </si>
  <si>
    <t>poison</t>
  </si>
  <si>
    <t>wayward</t>
  </si>
  <si>
    <t>motion</t>
  </si>
  <si>
    <t>Straight flight, bounce off solids</t>
  </si>
  <si>
    <t>hungry</t>
  </si>
  <si>
    <t>Steer toward nearest enemy</t>
  </si>
  <si>
    <t>spite</t>
  </si>
  <si>
    <t>Steer toward the player</t>
  </si>
  <si>
    <t>rooted</t>
  </si>
  <si>
    <t>Stops in place</t>
  </si>
  <si>
    <t>Travels in a circle</t>
  </si>
  <si>
    <t>patrol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</si>
  <si>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</si>
  <si>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</si>
  <si>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</si>
  <si>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</si>
  <si>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</si>
  <si>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</si>
  <si>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</si>
  <si>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</si>
  <si>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</si>
  <si>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</si>
  <si>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</si>
  <si>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</si>
  <si>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</si>
  <si>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</si>
  <si>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</si>
  <si>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greedy</t>
  </si>
  <si>
    <t>Steers towards mana crystals</t>
  </si>
  <si>
    <t>Steer towards other orbs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</si>
  <si>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</si>
  <si>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</si>
  <si>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</si>
  <si>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</si>
  <si>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</si>
  <si>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</si>
  <si>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blank</t>
  </si>
  <si>
    <t>conduit</t>
  </si>
  <si>
    <t>rot</t>
  </si>
  <si>
    <t>ghost</t>
  </si>
  <si>
    <t>When you are within 120 meters of the orb, create a tether between you dealing 3 DPS to enemies touching it</t>
  </si>
  <si>
    <t>Enters enemies and deal its impact damage per second to them. Once dead, exits in a random direction</t>
  </si>
  <si>
    <t>Inflict poison on hit</t>
  </si>
  <si>
    <t>glyphs</t>
  </si>
  <si>
    <t>res://entities/orbs/blank/blank_orb.tscn</t>
  </si>
  <si>
    <t>res://entities/orbs/conduit/conduit_orb.tscn</t>
  </si>
  <si>
    <t>res://entities/orbs/rot/rot_orb.tscn</t>
  </si>
  <si>
    <t>res://entities/orbs/ghost/ghost_orb.tscn</t>
  </si>
  <si>
    <t>attribute</t>
  </si>
  <si>
    <t>glyph_drop</t>
  </si>
  <si>
    <t>Glyph drop chance from enemies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</si>
</sst>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</cellXfs>
  <cellStyles count="2">
    <cellStyle name="Normal" xfId="0" builtinId="0"/>
    <cellStyle name="Percent" xfId="1" builtinId="5"/>
  </cellStyles>
  <dxfs count="1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FF00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R4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L5" sqref="L5"/>
    </sheetView>
  </sheetViews>
  <sheetFormatPr defaultRowHeight="15" x14ac:dyDescent="0.25"/>
  <cols>
    <col min="1" max="1" width="19.42578125" customWidth="1"/>
    <col min="2" max="2" width="17.5703125" customWidth="1"/>
    <col min="3" max="3" width="104.28515625" bestFit="1" customWidth="1"/>
    <col min="4" max="4" width="15" customWidth="1"/>
    <col min="5" max="5" width="10.42578125" customWidth="1"/>
    <col min="6" max="6" width="15.42578125" customWidth="1"/>
    <col min="7" max="7" width="8.85546875" bestFit="1" customWidth="1"/>
    <col min="8" max="8" width="8.5703125" customWidth="1"/>
    <col min="9" max="9" width="9.140625" customWidth="1"/>
    <col min="10" max="12" width="14.5703125" customWidth="1"/>
    <col min="13" max="13" width="8.85546875" customWidth="1"/>
    <col min="14" max="14" width="8.42578125" customWidth="1"/>
    <col min="15" max="15" width="8.5703125" customWidth="1"/>
    <col min="16" max="16" width="8.7109375" customWidth="1"/>
    <col min="17" max="17" width="47" customWidth="1"/>
  </cols>
  <sheetData>
    <row r="1" spans="1:18" x14ac:dyDescent="0.25">
      <c r="A1" s="4" t="s">
        <v>0</v>
      </c>
      <c r="B1" s="4" t="s">
        <v>1</v>
      </c>
      <c r="C1" s="4" t="s">
        <v>2</v>
      </c>
      <c r="D1" s="10" t="s">
        <v>168</v>
      </c>
      <c r="E1" s="9" t="s">
        <v>156</v>
      </c>
      <c r="F1" s="9" t="s">
        <v>157</v>
      </c>
      <c r="G1" s="9" t="s">
        <v>158</v>
      </c>
      <c r="H1" s="9" t="s">
        <v>159</v>
      </c>
      <c r="I1" s="9" t="s">
        <v>160</v>
      </c>
      <c r="J1" s="9" t="s">
        <v>161</v>
      </c>
      <c r="K1" s="9" t="s">
        <v>162</v>
      </c>
      <c r="L1" s="9" t="s">
        <v>215</v>
      </c>
      <c r="M1" s="9" t="s">
        <v>163</v>
      </c>
      <c r="N1" s="9" t="s">
        <v>164</v>
      </c>
      <c r="O1" s="9" t="s">
        <v>165</v>
      </c>
      <c r="P1" s="9" t="s">
        <v>166</v>
      </c>
      <c r="Q1" s="13" t="s">
        <v>109</v>
      </c>
      <c r="R1" s="13" t="s">
        <v>14</v>
      </c>
    </row>
    <row r="2" spans="1:18" x14ac:dyDescent="0.25">
      <c r="A2" t="s">
        <v>202</v>
      </c>
      <c r="B2" t="str">
        <f t="shared" ref="B2:B26" si="0">PROPER(SUBSTITUTE(A2,"_"," "))</f>
        <v>Blank</v>
      </c>
      <c r="C2" t="s">
        <v>124</v>
      </c>
      <c r="D2" t="s">
        <v>167</v>
      </c>
      <c r="E2">
        <v>10</v>
      </c>
      <c r="F2">
        <v>10</v>
      </c>
      <c r="G2" s="8">
        <v>0</v>
      </c>
      <c r="H2">
        <v>100</v>
      </c>
      <c r="I2">
        <v>5</v>
      </c>
      <c r="J2" s="8">
        <v>0.01</v>
      </c>
      <c r="K2" s="8">
        <v>2</v>
      </c>
      <c r="L2" s="8">
        <v>0.2</v>
      </c>
      <c r="M2">
        <v>0</v>
      </c>
      <c r="N2">
        <v>0</v>
      </c>
      <c r="O2">
        <v>0</v>
      </c>
      <c r="P2">
        <v>0</v>
      </c>
      <c r="Q2" t="s">
        <v>210</v>
      </c>
      <c r="R2" t="b">
        <v>1</v>
      </c>
    </row>
    <row r="3" spans="1:18" x14ac:dyDescent="0.25">
      <c r="A3" t="s">
        <v>203</v>
      </c>
      <c r="B3" t="str">
        <f t="shared" si="0"/>
        <v>Conduit</v>
      </c>
      <c r="C3" t="s">
        <v>206</v>
      </c>
      <c r="D3" t="s">
        <v>167</v>
      </c>
      <c r="E3">
        <v>10</v>
      </c>
      <c r="F3">
        <v>10</v>
      </c>
      <c r="G3" s="8">
        <v>0</v>
      </c>
      <c r="H3">
        <v>130</v>
      </c>
      <c r="I3">
        <v>5</v>
      </c>
      <c r="J3" s="8">
        <v>0.01</v>
      </c>
      <c r="K3" s="8">
        <v>2</v>
      </c>
      <c r="L3" s="8">
        <v>0.2</v>
      </c>
      <c r="M3">
        <v>0</v>
      </c>
      <c r="N3">
        <v>0</v>
      </c>
      <c r="O3">
        <v>3</v>
      </c>
      <c r="P3">
        <v>0</v>
      </c>
      <c r="Q3" t="s">
        <v>211</v>
      </c>
      <c r="R3" t="b">
        <v>1</v>
      </c>
    </row>
    <row r="4" spans="1:18" x14ac:dyDescent="0.25">
      <c r="A4" t="s">
        <v>204</v>
      </c>
      <c r="B4" t="str">
        <f t="shared" si="0"/>
        <v>Rot</v>
      </c>
      <c r="C4" t="s">
        <v>208</v>
      </c>
      <c r="D4" t="s">
        <v>167</v>
      </c>
      <c r="E4">
        <v>5</v>
      </c>
      <c r="F4">
        <v>10</v>
      </c>
      <c r="G4" s="8">
        <v>0.01</v>
      </c>
      <c r="H4">
        <v>80</v>
      </c>
      <c r="I4">
        <v>7</v>
      </c>
      <c r="J4" s="8">
        <v>0.01</v>
      </c>
      <c r="K4" s="8">
        <v>2</v>
      </c>
      <c r="L4" s="8">
        <v>0.2</v>
      </c>
      <c r="M4">
        <v>0</v>
      </c>
      <c r="N4">
        <v>0</v>
      </c>
      <c r="O4">
        <v>0</v>
      </c>
      <c r="P4">
        <v>3</v>
      </c>
      <c r="Q4" t="s">
        <v>212</v>
      </c>
      <c r="R4" t="b">
        <v>1</v>
      </c>
    </row>
    <row r="5" spans="1:18" x14ac:dyDescent="0.25">
      <c r="A5" t="s">
        <v>205</v>
      </c>
      <c r="B5" t="str">
        <f t="shared" si="0"/>
        <v>Ghost</v>
      </c>
      <c r="C5" t="s">
        <v>207</v>
      </c>
      <c r="D5" t="s">
        <v>167</v>
      </c>
      <c r="E5">
        <v>10</v>
      </c>
      <c r="F5">
        <v>10</v>
      </c>
      <c r="G5" s="8">
        <v>0</v>
      </c>
      <c r="H5">
        <v>110</v>
      </c>
      <c r="I5">
        <v>2</v>
      </c>
      <c r="J5" s="8">
        <v>0.01</v>
      </c>
      <c r="K5" s="8">
        <v>2</v>
      </c>
      <c r="L5" s="8">
        <v>0.2</v>
      </c>
      <c r="M5">
        <v>0</v>
      </c>
      <c r="N5">
        <v>0</v>
      </c>
      <c r="O5">
        <v>0</v>
      </c>
      <c r="P5">
        <v>0</v>
      </c>
      <c r="Q5" t="s">
        <v>213</v>
      </c>
      <c r="R5" t="b">
        <v>1</v>
      </c>
    </row>
    <row r="6" spans="1:18" x14ac:dyDescent="0.25">
      <c r="B6" t="str">
        <f t="shared" si="0"/>
        <v/>
      </c>
    </row>
    <row r="7" spans="1:18" x14ac:dyDescent="0.25">
      <c r="B7" t="str">
        <f t="shared" si="0"/>
        <v/>
      </c>
    </row>
    <row r="8" spans="1:18" x14ac:dyDescent="0.25">
      <c r="B8" t="str">
        <f t="shared" si="0"/>
        <v/>
      </c>
    </row>
    <row r="9" spans="1:18" x14ac:dyDescent="0.25">
      <c r="B9" t="str">
        <f t="shared" si="0"/>
        <v/>
      </c>
    </row>
    <row r="10" spans="1:18" x14ac:dyDescent="0.25">
      <c r="B10" t="str">
        <f t="shared" si="0"/>
        <v/>
      </c>
    </row>
    <row r="11" spans="1:18" x14ac:dyDescent="0.25">
      <c r="B11" t="str">
        <f t="shared" si="0"/>
        <v/>
      </c>
    </row>
    <row r="12" spans="1:18" x14ac:dyDescent="0.25">
      <c r="B12" t="str">
        <f t="shared" si="0"/>
        <v/>
      </c>
    </row>
    <row r="13" spans="1:18" x14ac:dyDescent="0.25">
      <c r="B13" t="str">
        <f t="shared" si="0"/>
        <v/>
      </c>
    </row>
    <row r="14" spans="1:18" x14ac:dyDescent="0.25">
      <c r="B14" t="str">
        <f t="shared" si="0"/>
        <v/>
      </c>
    </row>
    <row r="15" spans="1:18" x14ac:dyDescent="0.25">
      <c r="B15" t="str">
        <f t="shared" si="0"/>
        <v/>
      </c>
    </row>
    <row r="16" spans="1:18" x14ac:dyDescent="0.25">
      <c r="B16" t="str">
        <f t="shared" si="0"/>
        <v/>
      </c>
    </row>
    <row r="17" spans="2:2" x14ac:dyDescent="0.25">
      <c r="B17" t="str">
        <f t="shared" si="0"/>
        <v/>
      </c>
    </row>
    <row r="18" spans="2:2" x14ac:dyDescent="0.25">
      <c r="B18" t="str">
        <f t="shared" si="0"/>
        <v/>
      </c>
    </row>
    <row r="19" spans="2:2" x14ac:dyDescent="0.25">
      <c r="B19" t="str">
        <f t="shared" si="0"/>
        <v/>
      </c>
    </row>
    <row r="20" spans="2:2" x14ac:dyDescent="0.25">
      <c r="B20" t="str">
        <f t="shared" si="0"/>
        <v/>
      </c>
    </row>
    <row r="21" spans="2:2" x14ac:dyDescent="0.25">
      <c r="B21" t="str">
        <f t="shared" si="0"/>
        <v/>
      </c>
    </row>
    <row r="22" spans="2:2" x14ac:dyDescent="0.25">
      <c r="B22" t="str">
        <f t="shared" si="0"/>
        <v/>
      </c>
    </row>
    <row r="23" spans="2:2" x14ac:dyDescent="0.25">
      <c r="B23" t="str">
        <f t="shared" si="0"/>
        <v/>
      </c>
    </row>
    <row r="24" spans="2:2" x14ac:dyDescent="0.25">
      <c r="B24" t="str">
        <f t="shared" si="0"/>
        <v/>
      </c>
    </row>
    <row r="25" spans="2:2" x14ac:dyDescent="0.25">
      <c r="B25" t="str">
        <f t="shared" si="0"/>
        <v/>
      </c>
    </row>
    <row r="26" spans="2:2" x14ac:dyDescent="0.25">
      <c r="B26" t="str">
        <f t="shared" si="0"/>
        <v/>
      </c>
    </row>
    <row r="27" spans="2:2" x14ac:dyDescent="0.25">
      <c r="B27" t="str">
        <f t="shared" ref="B27:B44" si="1">PROPER(SUBSTITUTE(A27,"_"," "))</f>
        <v/>
      </c>
    </row>
    <row r="28" spans="2:2" x14ac:dyDescent="0.25">
      <c r="B28" t="str">
        <f t="shared" si="1"/>
        <v/>
      </c>
    </row>
    <row r="29" spans="2:2" x14ac:dyDescent="0.25">
      <c r="B29" t="str">
        <f t="shared" si="1"/>
        <v/>
      </c>
    </row>
    <row r="30" spans="2:2" x14ac:dyDescent="0.25">
      <c r="B30" t="str">
        <f t="shared" si="1"/>
        <v/>
      </c>
    </row>
    <row r="31" spans="2:2" x14ac:dyDescent="0.25">
      <c r="B31" t="str">
        <f t="shared" si="1"/>
        <v/>
      </c>
    </row>
    <row r="32" spans="2:2" x14ac:dyDescent="0.25">
      <c r="B32" t="str">
        <f t="shared" si="1"/>
        <v/>
      </c>
    </row>
    <row r="33" spans="2:2" x14ac:dyDescent="0.25">
      <c r="B33" t="str">
        <f t="shared" si="1"/>
        <v/>
      </c>
    </row>
    <row r="34" spans="2:2" x14ac:dyDescent="0.25">
      <c r="B34" t="str">
        <f t="shared" si="1"/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</sheetData>
  <autoFilter ref="A1:R44" xr:uid="{00000000-0009-0000-0000-000000000000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C42C69-7304-40C7-BA02-8A3EB2712138}">
          <x14:formula1>
            <xm:f>motion!$A$2:$A$30</xm:f>
          </x14:formula1>
          <xm:sqref>D2:D50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6FF91-8AAE-4DE1-83AD-81AADC56FAFB}">
  <sheetPr>
    <tabColor theme="7" tint="0.59999389629810485"/>
  </sheetPr>
  <dimension ref="A1:H13"/>
  <sheetViews>
    <sheetView workbookViewId="0">
      <selection activeCell="F13" sqref="F13"/>
    </sheetView>
  </sheetViews>
  <sheetFormatPr defaultRowHeight="15" x14ac:dyDescent="0.25"/>
  <cols>
    <col min="3" max="3" width="49.85546875" bestFit="1" customWidth="1"/>
    <col min="5" max="5" width="13.5703125" customWidth="1"/>
    <col min="6" max="6" width="16.85546875" customWidth="1"/>
    <col min="7" max="7" width="12.85546875" customWidth="1"/>
    <col min="8" max="8" width="15.7109375" customWidth="1"/>
  </cols>
  <sheetData>
    <row r="1" spans="1:8" x14ac:dyDescent="0.25">
      <c r="A1" s="3" t="s">
        <v>0</v>
      </c>
      <c r="B1" s="3" t="s">
        <v>1</v>
      </c>
      <c r="C1" s="3" t="s">
        <v>2</v>
      </c>
      <c r="D1" s="3" t="s">
        <v>154</v>
      </c>
      <c r="E1" s="3" t="s">
        <v>214</v>
      </c>
      <c r="F1" s="3" t="s">
        <v>140</v>
      </c>
      <c r="G1" s="3" t="s">
        <v>141</v>
      </c>
      <c r="H1" s="3" t="s">
        <v>142</v>
      </c>
    </row>
    <row r="2" spans="1:8" x14ac:dyDescent="0.25">
      <c r="A2" t="s">
        <v>143</v>
      </c>
      <c r="B2" t="str">
        <f>PROPER(A2)</f>
        <v>Coal</v>
      </c>
      <c r="C2" t="s">
        <v>125</v>
      </c>
      <c r="D2" t="s">
        <v>126</v>
      </c>
      <c r="E2" t="s">
        <v>163</v>
      </c>
      <c r="F2">
        <v>1</v>
      </c>
      <c r="G2">
        <v>2</v>
      </c>
      <c r="H2">
        <v>3</v>
      </c>
    </row>
    <row r="3" spans="1:8" x14ac:dyDescent="0.25">
      <c r="A3" t="s">
        <v>144</v>
      </c>
      <c r="B3" t="str">
        <f t="shared" ref="B3:B13" si="0">PROPER(A3)</f>
        <v>Fury</v>
      </c>
      <c r="C3" t="s">
        <v>127</v>
      </c>
      <c r="D3" t="s">
        <v>126</v>
      </c>
      <c r="E3" t="s">
        <v>156</v>
      </c>
      <c r="F3">
        <v>5</v>
      </c>
      <c r="G3">
        <v>10</v>
      </c>
      <c r="H3">
        <v>15</v>
      </c>
    </row>
    <row r="4" spans="1:8" x14ac:dyDescent="0.25">
      <c r="A4" t="s">
        <v>145</v>
      </c>
      <c r="B4" t="str">
        <f t="shared" si="0"/>
        <v>Blast</v>
      </c>
      <c r="C4" t="s">
        <v>128</v>
      </c>
      <c r="D4" t="s">
        <v>126</v>
      </c>
      <c r="E4" t="s">
        <v>158</v>
      </c>
      <c r="F4" s="6">
        <v>0.05</v>
      </c>
      <c r="G4" s="6">
        <v>0.1</v>
      </c>
      <c r="H4" s="6">
        <v>0.15</v>
      </c>
    </row>
    <row r="5" spans="1:8" x14ac:dyDescent="0.25">
      <c r="A5" t="s">
        <v>146</v>
      </c>
      <c r="B5" t="str">
        <f t="shared" si="0"/>
        <v>Rime</v>
      </c>
      <c r="C5" t="s">
        <v>129</v>
      </c>
      <c r="D5" t="s">
        <v>130</v>
      </c>
      <c r="E5" t="s">
        <v>164</v>
      </c>
      <c r="F5">
        <v>1</v>
      </c>
      <c r="G5">
        <v>2</v>
      </c>
      <c r="H5">
        <v>3</v>
      </c>
    </row>
    <row r="6" spans="1:8" x14ac:dyDescent="0.25">
      <c r="A6" t="s">
        <v>147</v>
      </c>
      <c r="B6" t="str">
        <f t="shared" si="0"/>
        <v>Soft</v>
      </c>
      <c r="C6" t="s">
        <v>131</v>
      </c>
      <c r="D6" t="s">
        <v>130</v>
      </c>
      <c r="E6" t="s">
        <v>157</v>
      </c>
      <c r="F6">
        <v>-10</v>
      </c>
      <c r="G6">
        <v>-20</v>
      </c>
      <c r="H6">
        <v>-30</v>
      </c>
    </row>
    <row r="7" spans="1:8" x14ac:dyDescent="0.25">
      <c r="A7" t="s">
        <v>148</v>
      </c>
      <c r="B7" t="str">
        <f t="shared" si="0"/>
        <v>Bounty</v>
      </c>
      <c r="C7" t="s">
        <v>216</v>
      </c>
      <c r="D7" t="s">
        <v>130</v>
      </c>
      <c r="E7" t="s">
        <v>215</v>
      </c>
      <c r="F7" s="8">
        <v>0.01</v>
      </c>
      <c r="G7" s="8">
        <v>0.02</v>
      </c>
      <c r="H7" s="8">
        <v>0.03</v>
      </c>
    </row>
    <row r="8" spans="1:8" x14ac:dyDescent="0.25">
      <c r="A8" t="s">
        <v>149</v>
      </c>
      <c r="B8" t="str">
        <f t="shared" si="0"/>
        <v>Static</v>
      </c>
      <c r="C8" t="s">
        <v>132</v>
      </c>
      <c r="D8" t="s">
        <v>133</v>
      </c>
      <c r="E8" t="s">
        <v>165</v>
      </c>
      <c r="F8">
        <v>1</v>
      </c>
      <c r="G8">
        <v>2</v>
      </c>
      <c r="H8">
        <v>3</v>
      </c>
    </row>
    <row r="9" spans="1:8" x14ac:dyDescent="0.25">
      <c r="A9" t="s">
        <v>155</v>
      </c>
      <c r="B9" t="str">
        <f t="shared" si="0"/>
        <v>Shear</v>
      </c>
      <c r="C9" t="s">
        <v>134</v>
      </c>
      <c r="D9" t="s">
        <v>133</v>
      </c>
      <c r="E9" t="s">
        <v>161</v>
      </c>
      <c r="F9" s="6">
        <v>0.01</v>
      </c>
      <c r="G9" s="6">
        <v>0.02</v>
      </c>
      <c r="H9" s="6">
        <v>0.03</v>
      </c>
    </row>
    <row r="10" spans="1:8" x14ac:dyDescent="0.25">
      <c r="A10" t="s">
        <v>150</v>
      </c>
      <c r="B10" t="str">
        <f t="shared" si="0"/>
        <v>Drag</v>
      </c>
      <c r="C10" t="s">
        <v>135</v>
      </c>
      <c r="D10" t="s">
        <v>133</v>
      </c>
      <c r="E10" t="s">
        <v>159</v>
      </c>
      <c r="F10">
        <v>-10</v>
      </c>
      <c r="G10">
        <v>-20</v>
      </c>
      <c r="H10">
        <v>-30</v>
      </c>
    </row>
    <row r="11" spans="1:8" x14ac:dyDescent="0.25">
      <c r="A11" t="s">
        <v>151</v>
      </c>
      <c r="B11" t="str">
        <f t="shared" si="0"/>
        <v>Blight</v>
      </c>
      <c r="C11" t="s">
        <v>136</v>
      </c>
      <c r="D11" t="s">
        <v>137</v>
      </c>
      <c r="E11" t="s">
        <v>166</v>
      </c>
      <c r="F11">
        <v>1</v>
      </c>
      <c r="G11">
        <v>2</v>
      </c>
      <c r="H11">
        <v>3</v>
      </c>
    </row>
    <row r="12" spans="1:8" x14ac:dyDescent="0.25">
      <c r="A12" t="s">
        <v>152</v>
      </c>
      <c r="B12" t="str">
        <f t="shared" si="0"/>
        <v>Dense</v>
      </c>
      <c r="C12" t="s">
        <v>138</v>
      </c>
      <c r="D12" t="s">
        <v>137</v>
      </c>
      <c r="E12" t="s">
        <v>160</v>
      </c>
      <c r="F12">
        <v>1</v>
      </c>
      <c r="G12">
        <v>2</v>
      </c>
      <c r="H12">
        <v>3</v>
      </c>
    </row>
    <row r="13" spans="1:8" x14ac:dyDescent="0.25">
      <c r="A13" t="s">
        <v>153</v>
      </c>
      <c r="B13" t="str">
        <f t="shared" si="0"/>
        <v>Crush</v>
      </c>
      <c r="C13" t="s">
        <v>139</v>
      </c>
      <c r="D13" t="s">
        <v>137</v>
      </c>
      <c r="E13" t="s">
        <v>162</v>
      </c>
      <c r="F13" s="6">
        <v>0.1</v>
      </c>
      <c r="G13" s="6">
        <v>0.2</v>
      </c>
      <c r="H13" s="6">
        <v>0.3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10F13-8E40-4AB2-9849-0A8DFD3352A1}">
  <sheetPr>
    <tabColor theme="4" tint="0.59999389629810485"/>
  </sheetPr>
  <dimension ref="A1:C18"/>
  <sheetViews>
    <sheetView workbookViewId="0">
      <selection sqref="A1:C1"/>
    </sheetView>
  </sheetViews>
  <sheetFormatPr defaultRowHeight="15" x14ac:dyDescent="0.25"/>
  <cols>
    <col min="1" max="1" width="9.42578125" bestFit="1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2</v>
      </c>
    </row>
    <row r="2" spans="1:3" x14ac:dyDescent="0.25">
      <c r="A2" t="s">
        <v>167</v>
      </c>
      <c r="B2" t="str">
        <f t="shared" ref="B2" si="0">PROPER(SUBSTITUTE(A2,"_"," "))</f>
        <v>Wayward</v>
      </c>
      <c r="C2" t="s">
        <v>169</v>
      </c>
    </row>
    <row r="3" spans="1:3" x14ac:dyDescent="0.25">
      <c r="A3" t="s">
        <v>170</v>
      </c>
      <c r="C3" t="s">
        <v>171</v>
      </c>
    </row>
    <row r="4" spans="1:3" x14ac:dyDescent="0.25">
      <c r="A4" t="s">
        <v>172</v>
      </c>
      <c r="C4" t="s">
        <v>173</v>
      </c>
    </row>
    <row r="5" spans="1:3" x14ac:dyDescent="0.25">
      <c r="A5" t="s">
        <v>174</v>
      </c>
      <c r="C5" t="s">
        <v>175</v>
      </c>
    </row>
    <row r="6" spans="1:3" x14ac:dyDescent="0.25">
      <c r="A6" t="s">
        <v>177</v>
      </c>
      <c r="C6" t="s">
        <v>176</v>
      </c>
    </row>
    <row r="7" spans="1:3" x14ac:dyDescent="0.25">
      <c r="A7" t="s">
        <v>178</v>
      </c>
      <c r="C7" t="s">
        <v>179</v>
      </c>
    </row>
    <row r="8" spans="1:3" x14ac:dyDescent="0.25">
      <c r="A8" t="s">
        <v>180</v>
      </c>
      <c r="C8" t="s">
        <v>181</v>
      </c>
    </row>
    <row r="9" spans="1:3" x14ac:dyDescent="0.25">
      <c r="A9" t="s">
        <v>182</v>
      </c>
      <c r="C9" t="s">
        <v>183</v>
      </c>
    </row>
    <row r="10" spans="1:3" x14ac:dyDescent="0.25">
      <c r="A10" t="s">
        <v>184</v>
      </c>
      <c r="C10" t="s">
        <v>185</v>
      </c>
    </row>
    <row r="11" spans="1:3" x14ac:dyDescent="0.25">
      <c r="A11" t="s">
        <v>186</v>
      </c>
      <c r="C11" t="s">
        <v>187</v>
      </c>
    </row>
    <row r="12" spans="1:3" x14ac:dyDescent="0.25">
      <c r="A12" t="s">
        <v>188</v>
      </c>
      <c r="C12" t="s">
        <v>189</v>
      </c>
    </row>
    <row r="13" spans="1:3" x14ac:dyDescent="0.25">
      <c r="A13" t="s">
        <v>190</v>
      </c>
      <c r="C13" t="s">
        <v>191</v>
      </c>
    </row>
    <row r="14" spans="1:3" x14ac:dyDescent="0.25">
      <c r="A14" t="s">
        <v>192</v>
      </c>
      <c r="C14" t="s">
        <v>195</v>
      </c>
    </row>
    <row r="15" spans="1:3" x14ac:dyDescent="0.25">
      <c r="A15" t="s">
        <v>193</v>
      </c>
      <c r="C15" t="s">
        <v>194</v>
      </c>
    </row>
    <row r="16" spans="1:3" x14ac:dyDescent="0.25">
      <c r="A16" t="s">
        <v>196</v>
      </c>
      <c r="C16" t="s">
        <v>197</v>
      </c>
    </row>
    <row r="17" spans="1:3" x14ac:dyDescent="0.25">
      <c r="A17" t="s">
        <v>198</v>
      </c>
      <c r="C17" t="s">
        <v>199</v>
      </c>
    </row>
    <row r="18" spans="1:3" x14ac:dyDescent="0.25">
      <c r="A18" t="s">
        <v>200</v>
      </c>
      <c r="C18" t="s">
        <v>201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62</v>
      </c>
      <c r="K1" s="4" t="s">
        <v>114</v>
      </c>
      <c r="L1" s="4" t="s">
        <v>5</v>
      </c>
      <c r="M1" s="4" t="s">
        <v>6</v>
      </c>
      <c r="N1" s="4" t="s">
        <v>7</v>
      </c>
      <c r="O1" s="3" t="s">
        <v>8</v>
      </c>
      <c r="P1" s="3" t="s">
        <v>9</v>
      </c>
      <c r="Q1" s="3" t="s">
        <v>10</v>
      </c>
      <c r="R1" s="3" t="s">
        <v>11</v>
      </c>
      <c r="S1" s="4" t="s">
        <v>12</v>
      </c>
      <c r="T1" s="4" t="s">
        <v>13</v>
      </c>
      <c r="U1" s="3" t="s">
        <v>14</v>
      </c>
    </row>
    <row r="2" spans="1:21" x14ac:dyDescent="0.25">
      <c r="A2" t="s">
        <v>15</v>
      </c>
      <c r="B2" t="str">
        <f t="shared" ref="B2:B33" si="0">PROPER(SUBSTITUTE(A2,"_"," "))</f>
        <v>Reception Desk</v>
      </c>
      <c r="C2" t="s">
        <v>16</v>
      </c>
      <c r="D2" t="s">
        <v>17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18</v>
      </c>
      <c r="O2">
        <v>2</v>
      </c>
      <c r="T2" t="s">
        <v>19</v>
      </c>
      <c r="U2" t="b">
        <v>1</v>
      </c>
    </row>
    <row r="3" spans="1:21" x14ac:dyDescent="0.25">
      <c r="A3" s="7" t="s">
        <v>20</v>
      </c>
      <c r="B3" t="str">
        <f t="shared" si="0"/>
        <v>Straw Pallet</v>
      </c>
      <c r="C3" t="s">
        <v>21</v>
      </c>
      <c r="D3" t="s">
        <v>22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18</v>
      </c>
      <c r="M3" t="s">
        <v>23</v>
      </c>
      <c r="O3">
        <v>2</v>
      </c>
      <c r="R3" t="b">
        <v>0</v>
      </c>
      <c r="U3" t="b">
        <v>0</v>
      </c>
    </row>
    <row r="4" spans="1:21" x14ac:dyDescent="0.25">
      <c r="A4" t="s">
        <v>24</v>
      </c>
      <c r="B4" t="str">
        <f t="shared" si="0"/>
        <v>Wood Frame Bed</v>
      </c>
      <c r="C4" t="s">
        <v>25</v>
      </c>
      <c r="D4" t="s">
        <v>22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18</v>
      </c>
      <c r="M4" t="s">
        <v>23</v>
      </c>
      <c r="O4">
        <v>2</v>
      </c>
      <c r="R4" t="b">
        <v>0</v>
      </c>
      <c r="S4" t="s">
        <v>26</v>
      </c>
      <c r="T4" t="s">
        <v>27</v>
      </c>
      <c r="U4" t="b">
        <v>1</v>
      </c>
    </row>
    <row r="5" spans="1:21" x14ac:dyDescent="0.25">
      <c r="A5" t="s">
        <v>28</v>
      </c>
      <c r="B5" t="str">
        <f t="shared" si="0"/>
        <v>Bunk Bed</v>
      </c>
      <c r="C5" t="s">
        <v>29</v>
      </c>
      <c r="D5" t="s">
        <v>22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18</v>
      </c>
      <c r="M5" t="s">
        <v>23</v>
      </c>
      <c r="O5">
        <v>2</v>
      </c>
      <c r="R5" t="b">
        <v>1</v>
      </c>
      <c r="S5" t="s">
        <v>30</v>
      </c>
      <c r="T5" t="s">
        <v>31</v>
      </c>
      <c r="U5" t="b">
        <v>1</v>
      </c>
    </row>
    <row r="6" spans="1:21" x14ac:dyDescent="0.25">
      <c r="A6" s="7" t="s">
        <v>32</v>
      </c>
      <c r="B6" t="str">
        <f t="shared" si="0"/>
        <v>Canopy Bed</v>
      </c>
      <c r="C6" t="s">
        <v>33</v>
      </c>
      <c r="D6" t="s">
        <v>22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18</v>
      </c>
      <c r="M6" t="s">
        <v>23</v>
      </c>
      <c r="O6">
        <v>2</v>
      </c>
      <c r="R6" t="b">
        <v>0</v>
      </c>
      <c r="U6" t="b">
        <v>0</v>
      </c>
    </row>
    <row r="7" spans="1:21" x14ac:dyDescent="0.25">
      <c r="A7" t="s">
        <v>34</v>
      </c>
      <c r="B7" t="str">
        <f t="shared" si="0"/>
        <v>Budget Wardrobe</v>
      </c>
      <c r="C7" t="s">
        <v>35</v>
      </c>
      <c r="D7" t="s">
        <v>36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18</v>
      </c>
      <c r="M7" t="s">
        <v>23</v>
      </c>
      <c r="O7">
        <v>3</v>
      </c>
      <c r="R7" t="b">
        <v>0</v>
      </c>
      <c r="S7" t="s">
        <v>37</v>
      </c>
      <c r="T7" t="s">
        <v>38</v>
      </c>
      <c r="U7" t="b">
        <v>1</v>
      </c>
    </row>
    <row r="8" spans="1:21" x14ac:dyDescent="0.25">
      <c r="A8" t="s">
        <v>39</v>
      </c>
      <c r="B8" t="str">
        <f t="shared" si="0"/>
        <v>Fine Wardrobe</v>
      </c>
      <c r="C8" t="s">
        <v>40</v>
      </c>
      <c r="D8" t="s">
        <v>36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18</v>
      </c>
      <c r="M8" t="s">
        <v>23</v>
      </c>
      <c r="O8">
        <v>3</v>
      </c>
      <c r="R8" t="b">
        <v>0</v>
      </c>
      <c r="S8" t="s">
        <v>37</v>
      </c>
      <c r="T8" t="s">
        <v>41</v>
      </c>
      <c r="U8" t="b">
        <v>1</v>
      </c>
    </row>
    <row r="9" spans="1:21" x14ac:dyDescent="0.25">
      <c r="A9" t="s">
        <v>42</v>
      </c>
      <c r="B9" t="str">
        <f t="shared" si="0"/>
        <v>Ornate Wardrobe</v>
      </c>
      <c r="D9" t="s">
        <v>36</v>
      </c>
      <c r="E9" t="s">
        <v>115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18</v>
      </c>
      <c r="M9" t="s">
        <v>23</v>
      </c>
      <c r="O9">
        <v>3</v>
      </c>
      <c r="R9" t="b">
        <v>0</v>
      </c>
      <c r="S9" t="s">
        <v>37</v>
      </c>
      <c r="T9" t="s">
        <v>43</v>
      </c>
      <c r="U9" t="b">
        <v>1</v>
      </c>
    </row>
    <row r="10" spans="1:21" x14ac:dyDescent="0.25">
      <c r="A10" s="7" t="s">
        <v>44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18</v>
      </c>
      <c r="M10" t="s">
        <v>23</v>
      </c>
      <c r="O10">
        <v>1</v>
      </c>
      <c r="R10" t="b">
        <v>0</v>
      </c>
      <c r="U10" t="b">
        <v>0</v>
      </c>
    </row>
    <row r="11" spans="1:21" x14ac:dyDescent="0.25">
      <c r="A11" s="7" t="s">
        <v>45</v>
      </c>
      <c r="B11" t="str">
        <f t="shared" si="0"/>
        <v>Wash Basin</v>
      </c>
      <c r="E11" t="s">
        <v>46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18</v>
      </c>
      <c r="M11" t="s">
        <v>23</v>
      </c>
      <c r="O11">
        <v>1</v>
      </c>
      <c r="R11" t="b">
        <v>0</v>
      </c>
      <c r="U11" t="b">
        <v>0</v>
      </c>
    </row>
    <row r="12" spans="1:21" x14ac:dyDescent="0.25">
      <c r="A12" s="7" t="s">
        <v>47</v>
      </c>
      <c r="B12" t="str">
        <f t="shared" si="0"/>
        <v>Artisan Rug</v>
      </c>
      <c r="E12" t="s">
        <v>48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18</v>
      </c>
      <c r="O12">
        <v>2</v>
      </c>
      <c r="R12" t="b">
        <v>0</v>
      </c>
      <c r="U12" t="b">
        <v>0</v>
      </c>
    </row>
    <row r="13" spans="1:21" x14ac:dyDescent="0.25">
      <c r="A13" s="7" t="s">
        <v>49</v>
      </c>
      <c r="B13" t="str">
        <f t="shared" si="0"/>
        <v>Mirror</v>
      </c>
      <c r="E13" t="s">
        <v>50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18</v>
      </c>
      <c r="M13" t="s">
        <v>23</v>
      </c>
      <c r="O13">
        <v>1</v>
      </c>
      <c r="R13" t="b">
        <v>0</v>
      </c>
      <c r="U13" t="b">
        <v>0</v>
      </c>
    </row>
    <row r="14" spans="1:21" x14ac:dyDescent="0.25">
      <c r="A14" s="7" t="s">
        <v>51</v>
      </c>
      <c r="B14" t="str">
        <f t="shared" si="0"/>
        <v>Trunk</v>
      </c>
      <c r="C14" t="s">
        <v>52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18</v>
      </c>
      <c r="M14" t="s">
        <v>23</v>
      </c>
      <c r="O14">
        <v>2</v>
      </c>
      <c r="R14" t="b">
        <v>0</v>
      </c>
      <c r="U14" t="b">
        <v>0</v>
      </c>
    </row>
    <row r="15" spans="1:21" x14ac:dyDescent="0.25">
      <c r="A15" s="7" t="s">
        <v>53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18</v>
      </c>
      <c r="O15">
        <v>3</v>
      </c>
      <c r="R15" t="b">
        <v>0</v>
      </c>
      <c r="U15" t="b">
        <v>0</v>
      </c>
    </row>
    <row r="16" spans="1:21" x14ac:dyDescent="0.25">
      <c r="A16" s="7" t="s">
        <v>54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18</v>
      </c>
      <c r="M16" t="s">
        <v>23</v>
      </c>
      <c r="O16">
        <v>1</v>
      </c>
      <c r="R16" t="b">
        <v>0</v>
      </c>
      <c r="U16" t="b">
        <v>0</v>
      </c>
    </row>
    <row r="17" spans="1:21" x14ac:dyDescent="0.25">
      <c r="A17" t="s">
        <v>55</v>
      </c>
      <c r="B17" t="str">
        <f t="shared" si="0"/>
        <v>Small Houseplant</v>
      </c>
      <c r="D17" t="s">
        <v>56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18</v>
      </c>
      <c r="O17">
        <v>1</v>
      </c>
      <c r="R17" t="b">
        <v>0</v>
      </c>
      <c r="S17" t="s">
        <v>57</v>
      </c>
      <c r="T17" t="s">
        <v>58</v>
      </c>
      <c r="U17" t="b">
        <v>1</v>
      </c>
    </row>
    <row r="18" spans="1:21" x14ac:dyDescent="0.25">
      <c r="A18" s="7" t="s">
        <v>59</v>
      </c>
      <c r="B18" t="str">
        <f t="shared" si="0"/>
        <v>Big Houseplant</v>
      </c>
      <c r="E18" s="1" t="s">
        <v>116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18</v>
      </c>
      <c r="O18">
        <v>2</v>
      </c>
      <c r="R18" t="b">
        <v>0</v>
      </c>
      <c r="U18" t="b">
        <v>0</v>
      </c>
    </row>
    <row r="19" spans="1:21" x14ac:dyDescent="0.25">
      <c r="A19" s="7" t="s">
        <v>60</v>
      </c>
      <c r="B19" t="str">
        <f t="shared" si="0"/>
        <v>Chamber Pot</v>
      </c>
      <c r="C19" t="s">
        <v>61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18</v>
      </c>
      <c r="M19" t="s">
        <v>62</v>
      </c>
      <c r="O19">
        <v>1</v>
      </c>
      <c r="R19" t="b">
        <v>0</v>
      </c>
      <c r="U19" t="b">
        <v>0</v>
      </c>
    </row>
    <row r="20" spans="1:21" x14ac:dyDescent="0.25">
      <c r="A20" t="s">
        <v>63</v>
      </c>
      <c r="B20" t="str">
        <f t="shared" si="0"/>
        <v>Cooking Order Desk</v>
      </c>
      <c r="C20" t="s">
        <v>64</v>
      </c>
      <c r="D20" t="s">
        <v>65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18</v>
      </c>
      <c r="M20" t="s">
        <v>66</v>
      </c>
      <c r="O20">
        <v>2</v>
      </c>
      <c r="R20" t="b">
        <v>0</v>
      </c>
      <c r="S20" t="s">
        <v>67</v>
      </c>
      <c r="T20" t="s">
        <v>68</v>
      </c>
      <c r="U20" t="b">
        <v>1</v>
      </c>
    </row>
    <row r="21" spans="1:21" x14ac:dyDescent="0.25">
      <c r="A21" t="s">
        <v>69</v>
      </c>
      <c r="B21" t="str">
        <f t="shared" si="0"/>
        <v>Cooking Couldron</v>
      </c>
      <c r="C21" t="s">
        <v>70</v>
      </c>
      <c r="D21" t="s">
        <v>71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18</v>
      </c>
      <c r="M21" t="s">
        <v>72</v>
      </c>
      <c r="O21">
        <v>2</v>
      </c>
      <c r="R21" t="b">
        <v>0</v>
      </c>
      <c r="S21" t="s">
        <v>73</v>
      </c>
      <c r="T21" t="s">
        <v>74</v>
      </c>
      <c r="U21" t="b">
        <v>1</v>
      </c>
    </row>
    <row r="22" spans="1:21" x14ac:dyDescent="0.25">
      <c r="A22" t="s">
        <v>75</v>
      </c>
      <c r="B22" t="str">
        <f t="shared" si="0"/>
        <v>Small Seating Table</v>
      </c>
      <c r="D22" t="s">
        <v>76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18</v>
      </c>
      <c r="M22" t="s">
        <v>66</v>
      </c>
      <c r="O22">
        <v>2</v>
      </c>
      <c r="R22" t="b">
        <v>0</v>
      </c>
      <c r="S22" t="s">
        <v>77</v>
      </c>
      <c r="T22" t="s">
        <v>78</v>
      </c>
      <c r="U22" t="b">
        <v>1</v>
      </c>
    </row>
    <row r="23" spans="1:21" x14ac:dyDescent="0.25">
      <c r="A23" t="s">
        <v>79</v>
      </c>
      <c r="B23" t="str">
        <f t="shared" si="0"/>
        <v>Pass Table</v>
      </c>
      <c r="C23" t="s">
        <v>80</v>
      </c>
      <c r="D23" t="s">
        <v>81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18</v>
      </c>
      <c r="M23" t="s">
        <v>72</v>
      </c>
      <c r="O23">
        <v>2</v>
      </c>
      <c r="R23" t="b">
        <v>0</v>
      </c>
      <c r="S23" t="s">
        <v>82</v>
      </c>
      <c r="T23" t="s">
        <v>83</v>
      </c>
      <c r="U23" t="b">
        <v>1</v>
      </c>
    </row>
    <row r="24" spans="1:21" x14ac:dyDescent="0.25">
      <c r="A24" t="s">
        <v>84</v>
      </c>
      <c r="B24" t="str">
        <f t="shared" si="0"/>
        <v>Crate</v>
      </c>
      <c r="C24" t="s">
        <v>85</v>
      </c>
      <c r="D24" t="s">
        <v>86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18</v>
      </c>
      <c r="O24">
        <v>2</v>
      </c>
      <c r="R24" t="b">
        <v>0</v>
      </c>
      <c r="S24" t="s">
        <v>87</v>
      </c>
      <c r="T24" t="s">
        <v>88</v>
      </c>
      <c r="U24" t="b">
        <v>1</v>
      </c>
    </row>
    <row r="25" spans="1:21" x14ac:dyDescent="0.25">
      <c r="A25" s="7" t="s">
        <v>89</v>
      </c>
      <c r="B25" t="str">
        <f t="shared" si="0"/>
        <v>Barrel</v>
      </c>
      <c r="C25" t="s">
        <v>85</v>
      </c>
      <c r="D25" t="s">
        <v>86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18</v>
      </c>
      <c r="O25">
        <v>2</v>
      </c>
      <c r="R25" t="b">
        <v>0</v>
      </c>
      <c r="S25" t="s">
        <v>90</v>
      </c>
      <c r="T25" t="s">
        <v>91</v>
      </c>
      <c r="U25" t="b">
        <v>1</v>
      </c>
    </row>
    <row r="26" spans="1:21" x14ac:dyDescent="0.25">
      <c r="A26" t="s">
        <v>92</v>
      </c>
      <c r="B26" t="str">
        <f t="shared" si="0"/>
        <v>Wall Torch</v>
      </c>
      <c r="C26" t="s">
        <v>93</v>
      </c>
      <c r="D26" t="s">
        <v>94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95</v>
      </c>
      <c r="O26">
        <v>0</v>
      </c>
      <c r="P26">
        <v>1.4</v>
      </c>
      <c r="R26" t="b">
        <v>0</v>
      </c>
      <c r="S26" t="s">
        <v>96</v>
      </c>
      <c r="T26" t="s">
        <v>97</v>
      </c>
      <c r="U26" t="b">
        <v>1</v>
      </c>
    </row>
    <row r="27" spans="1:21" x14ac:dyDescent="0.25">
      <c r="A27" t="s">
        <v>98</v>
      </c>
      <c r="B27" t="str">
        <f t="shared" si="0"/>
        <v>Condiment Shelf</v>
      </c>
      <c r="C27" t="s">
        <v>99</v>
      </c>
      <c r="D27" t="s">
        <v>100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95</v>
      </c>
      <c r="M27" t="s">
        <v>72</v>
      </c>
      <c r="O27">
        <v>1</v>
      </c>
      <c r="P27" s="1">
        <v>4.4000000000000004</v>
      </c>
      <c r="R27" t="b">
        <v>0</v>
      </c>
      <c r="S27" t="s">
        <v>101</v>
      </c>
      <c r="T27" t="s">
        <v>102</v>
      </c>
      <c r="U27" t="b">
        <v>1</v>
      </c>
    </row>
    <row r="28" spans="1:21" x14ac:dyDescent="0.25">
      <c r="A28" t="s">
        <v>103</v>
      </c>
      <c r="B28" t="str">
        <f t="shared" si="0"/>
        <v>Condiment Shelf Small</v>
      </c>
      <c r="C28" t="s">
        <v>99</v>
      </c>
      <c r="D28" t="s">
        <v>100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95</v>
      </c>
      <c r="M28" t="s">
        <v>72</v>
      </c>
      <c r="O28">
        <v>1</v>
      </c>
      <c r="P28" s="1">
        <v>4.4000000000000004</v>
      </c>
      <c r="R28" t="b">
        <v>0</v>
      </c>
      <c r="S28" t="s">
        <v>101</v>
      </c>
      <c r="T28" t="s">
        <v>104</v>
      </c>
      <c r="U28" t="b">
        <v>1</v>
      </c>
    </row>
    <row r="29" spans="1:21" x14ac:dyDescent="0.25">
      <c r="A29" t="s">
        <v>105</v>
      </c>
      <c r="B29" t="str">
        <f t="shared" si="0"/>
        <v>Hanging Frying Pans</v>
      </c>
      <c r="C29" t="s">
        <v>99</v>
      </c>
      <c r="D29" t="s">
        <v>100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95</v>
      </c>
      <c r="M29" t="s">
        <v>72</v>
      </c>
      <c r="O29">
        <v>0</v>
      </c>
      <c r="R29" t="b">
        <v>0</v>
      </c>
    </row>
    <row r="30" spans="1:21" x14ac:dyDescent="0.25">
      <c r="A30" t="s">
        <v>106</v>
      </c>
      <c r="B30" t="str">
        <f t="shared" si="0"/>
        <v>Butcher Table</v>
      </c>
      <c r="D30" t="s">
        <v>107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18</v>
      </c>
      <c r="M30" t="s">
        <v>72</v>
      </c>
      <c r="O30">
        <v>2</v>
      </c>
      <c r="R30" t="b">
        <v>0</v>
      </c>
    </row>
    <row r="31" spans="1:21" x14ac:dyDescent="0.25">
      <c r="A31" t="s">
        <v>108</v>
      </c>
      <c r="B31" t="str">
        <f t="shared" si="0"/>
        <v>Hanging Meat</v>
      </c>
      <c r="D31" t="s">
        <v>107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2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6" tint="-0.249977111117893"/>
  </sheetPr>
  <dimension ref="A2:D2"/>
  <sheetViews>
    <sheetView workbookViewId="0">
      <pane ySplit="1" topLeftCell="A2" activePane="bottomLeft" state="frozen"/>
      <selection pane="bottomLeft" activeCell="A3" sqref="A3"/>
    </sheetView>
  </sheetViews>
  <sheetFormatPr defaultRowHeight="15" x14ac:dyDescent="0.25"/>
  <sheetData>
    <row r="2" spans="1:4" ht="15.6" customHeight="1" x14ac:dyDescent="0.25">
      <c r="A2" s="5" t="s">
        <v>123</v>
      </c>
      <c r="B2" s="3" t="s">
        <v>5</v>
      </c>
      <c r="C2" t="s">
        <v>18</v>
      </c>
      <c r="D2" t="s">
        <v>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6" tint="-0.249977111117893"/>
  </sheetPr>
  <dimension ref="A1:C30"/>
  <sheetViews>
    <sheetView workbookViewId="0">
      <pane ySplit="1" topLeftCell="A2" activePane="bottomLeft" state="frozen"/>
      <selection pane="bottomLeft" activeCell="B13" sqref="B13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117</v>
      </c>
      <c r="B1" t="s">
        <v>118</v>
      </c>
      <c r="C1" t="s">
        <v>3</v>
      </c>
    </row>
    <row r="2" spans="1:3" x14ac:dyDescent="0.25">
      <c r="A2" s="11" t="s">
        <v>123</v>
      </c>
      <c r="B2" s="11" t="s">
        <v>0</v>
      </c>
      <c r="C2" s="11" t="s">
        <v>119</v>
      </c>
    </row>
    <row r="3" spans="1:3" x14ac:dyDescent="0.25">
      <c r="A3" s="11" t="s">
        <v>123</v>
      </c>
      <c r="B3" s="11" t="s">
        <v>1</v>
      </c>
      <c r="C3" s="11" t="s">
        <v>119</v>
      </c>
    </row>
    <row r="4" spans="1:3" x14ac:dyDescent="0.25">
      <c r="A4" s="11" t="s">
        <v>123</v>
      </c>
      <c r="B4" s="11" t="s">
        <v>2</v>
      </c>
      <c r="C4" s="11" t="s">
        <v>119</v>
      </c>
    </row>
    <row r="5" spans="1:3" x14ac:dyDescent="0.25">
      <c r="A5" s="11" t="s">
        <v>123</v>
      </c>
      <c r="B5" s="11" t="s">
        <v>168</v>
      </c>
      <c r="C5" s="11" t="s">
        <v>119</v>
      </c>
    </row>
    <row r="6" spans="1:3" x14ac:dyDescent="0.25">
      <c r="A6" s="11" t="s">
        <v>123</v>
      </c>
      <c r="B6" s="11" t="s">
        <v>156</v>
      </c>
      <c r="C6" s="11" t="s">
        <v>122</v>
      </c>
    </row>
    <row r="7" spans="1:3" x14ac:dyDescent="0.25">
      <c r="A7" s="11" t="s">
        <v>123</v>
      </c>
      <c r="B7" s="11" t="s">
        <v>157</v>
      </c>
      <c r="C7" s="11" t="s">
        <v>122</v>
      </c>
    </row>
    <row r="8" spans="1:3" x14ac:dyDescent="0.25">
      <c r="A8" s="11" t="s">
        <v>123</v>
      </c>
      <c r="B8" s="11" t="s">
        <v>158</v>
      </c>
      <c r="C8" s="11" t="s">
        <v>122</v>
      </c>
    </row>
    <row r="9" spans="1:3" x14ac:dyDescent="0.25">
      <c r="A9" s="11" t="s">
        <v>123</v>
      </c>
      <c r="B9" s="11" t="s">
        <v>159</v>
      </c>
      <c r="C9" s="11" t="s">
        <v>122</v>
      </c>
    </row>
    <row r="10" spans="1:3" x14ac:dyDescent="0.25">
      <c r="A10" s="11" t="s">
        <v>123</v>
      </c>
      <c r="B10" s="11" t="s">
        <v>160</v>
      </c>
      <c r="C10" s="11" t="s">
        <v>122</v>
      </c>
    </row>
    <row r="11" spans="1:3" x14ac:dyDescent="0.25">
      <c r="A11" s="11" t="s">
        <v>123</v>
      </c>
      <c r="B11" s="11" t="s">
        <v>161</v>
      </c>
      <c r="C11" s="11" t="s">
        <v>122</v>
      </c>
    </row>
    <row r="12" spans="1:3" x14ac:dyDescent="0.25">
      <c r="A12" s="11" t="s">
        <v>123</v>
      </c>
      <c r="B12" s="11" t="s">
        <v>162</v>
      </c>
      <c r="C12" s="11" t="s">
        <v>122</v>
      </c>
    </row>
    <row r="13" spans="1:3" x14ac:dyDescent="0.25">
      <c r="A13" s="11" t="s">
        <v>123</v>
      </c>
      <c r="B13" s="11" t="s">
        <v>215</v>
      </c>
      <c r="C13" s="11" t="s">
        <v>122</v>
      </c>
    </row>
    <row r="14" spans="1:3" x14ac:dyDescent="0.25">
      <c r="A14" s="11" t="s">
        <v>123</v>
      </c>
      <c r="B14" s="11" t="s">
        <v>163</v>
      </c>
      <c r="C14" s="11" t="s">
        <v>120</v>
      </c>
    </row>
    <row r="15" spans="1:3" x14ac:dyDescent="0.25">
      <c r="A15" s="11" t="s">
        <v>123</v>
      </c>
      <c r="B15" s="11" t="s">
        <v>164</v>
      </c>
      <c r="C15" s="11" t="s">
        <v>120</v>
      </c>
    </row>
    <row r="16" spans="1:3" x14ac:dyDescent="0.25">
      <c r="A16" s="11" t="s">
        <v>123</v>
      </c>
      <c r="B16" s="11" t="s">
        <v>165</v>
      </c>
      <c r="C16" s="11" t="s">
        <v>120</v>
      </c>
    </row>
    <row r="17" spans="1:3" x14ac:dyDescent="0.25">
      <c r="A17" s="11" t="s">
        <v>123</v>
      </c>
      <c r="B17" s="11" t="s">
        <v>166</v>
      </c>
      <c r="C17" s="11" t="s">
        <v>120</v>
      </c>
    </row>
    <row r="18" spans="1:3" x14ac:dyDescent="0.25">
      <c r="A18" s="11" t="s">
        <v>123</v>
      </c>
      <c r="B18" s="11" t="s">
        <v>109</v>
      </c>
      <c r="C18" s="11" t="s">
        <v>119</v>
      </c>
    </row>
    <row r="19" spans="1:3" x14ac:dyDescent="0.25">
      <c r="A19" s="11" t="s">
        <v>123</v>
      </c>
      <c r="B19" s="11" t="s">
        <v>14</v>
      </c>
      <c r="C19" s="11" t="s">
        <v>121</v>
      </c>
    </row>
    <row r="20" spans="1:3" x14ac:dyDescent="0.25">
      <c r="A20" s="12" t="s">
        <v>209</v>
      </c>
      <c r="B20" s="12" t="s">
        <v>0</v>
      </c>
      <c r="C20" s="12" t="s">
        <v>119</v>
      </c>
    </row>
    <row r="21" spans="1:3" x14ac:dyDescent="0.25">
      <c r="A21" s="12" t="s">
        <v>209</v>
      </c>
      <c r="B21" s="12" t="s">
        <v>1</v>
      </c>
      <c r="C21" s="12" t="s">
        <v>119</v>
      </c>
    </row>
    <row r="22" spans="1:3" x14ac:dyDescent="0.25">
      <c r="A22" s="12" t="s">
        <v>209</v>
      </c>
      <c r="B22" s="12" t="s">
        <v>2</v>
      </c>
      <c r="C22" s="12" t="s">
        <v>119</v>
      </c>
    </row>
    <row r="23" spans="1:3" x14ac:dyDescent="0.25">
      <c r="A23" s="12" t="s">
        <v>209</v>
      </c>
      <c r="B23" s="12" t="s">
        <v>154</v>
      </c>
      <c r="C23" s="12" t="s">
        <v>119</v>
      </c>
    </row>
    <row r="24" spans="1:3" x14ac:dyDescent="0.25">
      <c r="A24" s="12" t="s">
        <v>209</v>
      </c>
      <c r="B24" s="12" t="s">
        <v>214</v>
      </c>
      <c r="C24" s="12" t="s">
        <v>119</v>
      </c>
    </row>
    <row r="25" spans="1:3" x14ac:dyDescent="0.25">
      <c r="A25" s="12" t="s">
        <v>209</v>
      </c>
      <c r="B25" s="12" t="s">
        <v>140</v>
      </c>
      <c r="C25" s="12" t="s">
        <v>122</v>
      </c>
    </row>
    <row r="26" spans="1:3" x14ac:dyDescent="0.25">
      <c r="A26" s="12" t="s">
        <v>209</v>
      </c>
      <c r="B26" s="12" t="s">
        <v>141</v>
      </c>
      <c r="C26" s="12" t="s">
        <v>122</v>
      </c>
    </row>
    <row r="27" spans="1:3" x14ac:dyDescent="0.25">
      <c r="A27" s="12" t="s">
        <v>209</v>
      </c>
      <c r="B27" s="12" t="s">
        <v>142</v>
      </c>
      <c r="C27" s="12" t="s">
        <v>122</v>
      </c>
    </row>
    <row r="28" spans="1:3" x14ac:dyDescent="0.25">
      <c r="A28" s="14" t="s">
        <v>168</v>
      </c>
      <c r="B28" s="14" t="s">
        <v>0</v>
      </c>
      <c r="C28" s="14" t="s">
        <v>119</v>
      </c>
    </row>
    <row r="29" spans="1:3" x14ac:dyDescent="0.25">
      <c r="A29" s="14" t="s">
        <v>168</v>
      </c>
      <c r="B29" s="14" t="s">
        <v>1</v>
      </c>
      <c r="C29" s="14" t="s">
        <v>119</v>
      </c>
    </row>
    <row r="30" spans="1:3" x14ac:dyDescent="0.25">
      <c r="A30" s="14" t="s">
        <v>168</v>
      </c>
      <c r="B30" s="14" t="s">
        <v>2</v>
      </c>
      <c r="C30" s="1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orbs</vt:lpstr>
      <vt:lpstr>glyphs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2026-09-01T14:42:22Z</dcterms:modified>
</cp:coreProperties>
</file>