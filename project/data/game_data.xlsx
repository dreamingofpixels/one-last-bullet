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180A1645-971E-448D-B710-321AD7C2315F}" xr6:coauthVersionLast="47" xr6:coauthVersionMax="47" xr10:uidLastSave="{00000000-0000-0000-0000-000000000000}"/>
  <bookViews>
    <workbookView xWindow="4050" yWindow="5535" windowWidth="28800" windowHeight="15345" tabRatio="696" activeTab="2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7" l="1"/>
  <c r="B11" i="17"/>
  <c r="B12" i="17"/>
  <c r="B9" i="17"/>
  <c r="B8" i="17"/>
  <c r="B7" i="17"/>
  <c r="I3" i="15"/>
  <c r="I4" i="15"/>
  <c r="I5" i="15"/>
  <c r="I6" i="15"/>
  <c r="I7" i="15"/>
  <c r="I8" i="15"/>
  <c r="I9" i="15"/>
  <c r="I10" i="15"/>
  <c r="I11" i="15"/>
  <c r="I12" i="15"/>
  <c r="I13" i="15"/>
  <c r="I2" i="15"/>
  <c r="B6" i="17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H7" i="1" s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<sst xmlns="http://schemas.openxmlformats.org/spreadsheetml/2006/main" count="525" uniqueCount="250">
  <si>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</si>
  <si>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</si>
  <si>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</si>
  <si>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</si>
  <si>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</si>
  <si>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</si>
  <si>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</si>
  <si>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</si>
  <si>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</si>
  <si>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</si>
  <si>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</si>
  <si>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</si>
  <si>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</si>
  <si>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</si>
  <si>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</si>
  <si>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</si>
  <si>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</si>
  <si>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</si>
  <si>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</si>
  <si>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</si>
  <si>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</si>
  <si>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</si>
  <si>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</si>
  <si>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</si>
  <si>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</si>
  <si>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</si>
  <si>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</si>
  <si>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</si>
  <si>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</si>
  <si>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</si>
  <si>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</si>
  <si>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</si>
  <si>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</si>
  <si>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</si>
  <si>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</si>
  <si>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</si>
  <si>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</si>
  <si>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</si>
  <si>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</si>
  <si>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</si>
  <si>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</si>
  <si>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</si>
  <si>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</si>
  <si>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</si>
  <si>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</si>
  <si>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</si>
  <si>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</si>
  <si>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</si>
  <si>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</si>
  <si>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</si>
  <si>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</si>
  <si>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</si>
  <si>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</si>
  <si>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</si>
  <si>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</si>
  <si>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</si>
  <si>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</si>
  <si>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</si>
  <si>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</si>
  <si>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</si>
  <si>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</si>
  <si>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</si>
  <si>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</si>
  <si>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</si>
  <si>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</si>
  <si>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</si>
  <si>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</si>
  <si>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</si>
  <si>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</si>
  <si>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</si>
  <si>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</si>
  <si>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</si>
  <si>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</si>
  <si>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</si>
  <si>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</si>
  <si>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</si>
  <si>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</si>
  <si>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</si>
  <si>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</si>
  <si>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</si>
  <si>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</si>
  <si>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</si>
  <si>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</si>
  <si>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</si>
  <si>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</si>
  <si>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</si>
  <si>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</si>
  <si>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</si>
  <si>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</si>
  <si>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</si>
  <si>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</si>
  <si>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</si>
  <si>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</si>
  <si>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</si>
  <si>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</si>
  <si>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</si>
  <si>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</si>
  <si>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</si>
  <si>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</si>
  <si>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</si>
  <si>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</si>
  <si>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</si>
  <si>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</si>
  <si>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</si>
  <si>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</si>
  <si>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</si>
  <si>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</si>
  <si>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</si>
  <si>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</si>
  <si>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</si>
  <si>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</si>
  <si>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</si>
  <si>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</si>
  <si>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</si>
  <si>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</si>
  <si>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</si>
  <si>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</si>
  <si>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</si>
  <si>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</si>
  <si>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</si>
  <si>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</si>
  <si>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</si>
  <si>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</si>
  <si>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</si>
  <si>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</si>
  <si>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</si>
  <si>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</si>
  <si>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</si>
  <si>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</si>
  <si>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</si>
  <si>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</si>
  <si>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</si>
  <si>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</si>
  <si>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</si>
  <si>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</si>
  <si>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</si>
  <si>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</si>
  <si>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</si>
  <si>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</si>
  <si>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</si>
  <si>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</si>
  <si>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</si>
  <si>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</si>
  <si>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</si>
  <si>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</si>
  <si>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</si>
  <si>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</si>
  <si>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</si>
  <si>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</si>
  <si>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</si>
  <si>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</si>
  <si>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</si>
  <si>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</si>
  <si>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</si>
  <si>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</si>
  <si>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</si>
  <si>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</si>
  <si>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</si>
  <si>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</si>
  <si>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</si>
  <si>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</si>
  <si>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</si>
  <si>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</si>
  <si>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</si>
  <si>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</si>
  <si>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</si>
  <si>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</si>
  <si>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</si>
  <si>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</si>
  <si>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</si>
  <si>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</si>
  <si>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</si>
  <si>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</si>
  <si>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</si>
  <si>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</si>
  <si>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</si>
  <si>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</si>
  <si>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</si>
  <si>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</si>
  <si>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</si>
  <si>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</si>
  <si>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</si>
  <si>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</si>
  <si>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</si>
  <si>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</si>
  <si>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</si>
  <si>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</si>
  <si>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</si>
  <si>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</si>
  <si>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</si>
  <si>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</si>
  <si>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</si>
  <si>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</si>
  <si>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</si>
  <si>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</si>
  <si>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</si>
  <si>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</si>
  <si>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</si>
  <si>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</si>
  <si>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</si>
  <si>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</si>
  <si>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</si>
  <si>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</si>
  <si>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</si>
  <si>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</si>
  <si>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</si>
  <si>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</si>
  <si>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</si>
  <si>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</si>
  <si>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</si>
  <si>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</si>
  <si>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</si>
  <si>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</si>
  <si>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</si>
  <si>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</si>
  <si>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</si>
  <si>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</si>
  <si>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</si>
  <si>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</si>
  <si>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</si>
  <si>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</si>
  <si>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</si>
  <si>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</si>
  <si>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</si>
  <si>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</si>
  <si>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</si>
  <si>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</si>
  <si>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</si>
  <si>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</si>
  <si>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</si>
  <si>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</si>
  <si>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</si>
  <si>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</si>
  <si>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</si>
  <si>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</si>
  <si>
    <t>sooth</t>
  </si>
  <si>
    <t>shard</t>
  </si>
  <si>
    <t>Shoots ice chards around every 3 seconds, doing 30 damage and inflicting 2 Frost</t>
  </si>
  <si>
    <t>Beam now chains to enemies between you and the orb</t>
  </si>
  <si>
    <t>More beams connect to other orbs and players</t>
  </si>
  <si>
    <t>Range of the tether greatly increases</t>
  </si>
  <si>
    <t>When a shard breaks, two smaller shards shoot out dealing 10 damage and inflicting 1 Chill</t>
  </si>
  <si>
    <t>Shoots twice as many shards</t>
  </si>
  <si>
    <t>If orb hits an enemy with 10 or more chill, kill it instantly</t>
  </si>
  <si>
    <t>shatter</t>
  </si>
  <si>
    <t>splinter</t>
  </si>
  <si>
    <t>lethal</t>
  </si>
  <si>
    <t>chain</t>
  </si>
  <si>
    <t>conductor</t>
  </si>
  <si>
    <t>reach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</si>
</sst>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" sqref="D7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214</v>
      </c>
      <c r="E1" s="4" t="s">
        <v>215</v>
      </c>
      <c r="F1" s="4" t="s">
        <v>216</v>
      </c>
      <c r="H1" s="4" t="s">
        <v>217</v>
      </c>
      <c r="I1" s="10" t="s">
        <v>166</v>
      </c>
      <c r="J1" s="9" t="s">
        <v>154</v>
      </c>
      <c r="K1" s="9" t="s">
        <v>155</v>
      </c>
      <c r="L1" s="9" t="s">
        <v>159</v>
      </c>
      <c r="M1" s="9" t="s">
        <v>160</v>
      </c>
      <c r="N1" s="9" t="s">
        <v>157</v>
      </c>
      <c r="O1" s="9" t="s">
        <v>158</v>
      </c>
      <c r="P1" s="9" t="s">
        <v>156</v>
      </c>
      <c r="Q1" s="9" t="s">
        <v>211</v>
      </c>
      <c r="R1" s="9" t="s">
        <v>161</v>
      </c>
      <c r="S1" s="9" t="s">
        <v>162</v>
      </c>
      <c r="T1" s="9" t="s">
        <v>163</v>
      </c>
      <c r="U1" s="9" t="s">
        <v>164</v>
      </c>
      <c r="V1" s="13" t="s">
        <v>109</v>
      </c>
      <c r="W1" s="13" t="s">
        <v>14</v>
      </c>
    </row>
    <row r="2" spans="1:23" x14ac:dyDescent="0.25">
      <c r="A2" t="s">
        <v>199</v>
      </c>
      <c r="B2" t="str">
        <f t="shared" ref="B2:B26" si="0">PROPER(SUBSTITUTE(A2,"_"," "))</f>
        <v>Blank</v>
      </c>
      <c r="C2" t="s">
        <v>234</v>
      </c>
      <c r="H2" t="str">
        <f t="shared" ref="H2:H5" si="1">IF(ISBLANK(F2),"",IF(COUNTIF($G$2:$G$101,G2)=1,"Yes","No"))</f>
        <v/>
      </c>
      <c r="I2" t="s">
        <v>165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206</v>
      </c>
      <c r="W2" t="b">
        <v>1</v>
      </c>
    </row>
    <row r="3" spans="1:23" x14ac:dyDescent="0.25">
      <c r="A3" t="s">
        <v>200</v>
      </c>
      <c r="B3" t="str">
        <f t="shared" si="0"/>
        <v>Conduit</v>
      </c>
      <c r="C3" t="s">
        <v>203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165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207</v>
      </c>
      <c r="W3" t="b">
        <v>1</v>
      </c>
    </row>
    <row r="4" spans="1:23" x14ac:dyDescent="0.25">
      <c r="A4" t="s">
        <v>201</v>
      </c>
      <c r="B4" t="str">
        <f t="shared" si="0"/>
        <v>Rot</v>
      </c>
      <c r="C4" t="s">
        <v>204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165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208</v>
      </c>
      <c r="W4" t="b">
        <v>1</v>
      </c>
    </row>
    <row r="5" spans="1:23" x14ac:dyDescent="0.25">
      <c r="A5" t="s">
        <v>202</v>
      </c>
      <c r="B5" t="str">
        <f t="shared" si="0"/>
        <v>Ghost</v>
      </c>
      <c r="C5" t="s">
        <v>233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165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209</v>
      </c>
      <c r="W5" t="b">
        <v>1</v>
      </c>
    </row>
    <row r="6" spans="1:23" x14ac:dyDescent="0.25">
      <c r="A6" t="s">
        <v>225</v>
      </c>
      <c r="B6" t="str">
        <f t="shared" si="0"/>
        <v>Inferno</v>
      </c>
      <c r="C6" t="s">
        <v>226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165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A7" t="s">
        <v>236</v>
      </c>
      <c r="B7" t="str">
        <f t="shared" si="0"/>
        <v>Shard</v>
      </c>
      <c r="C7" t="s">
        <v>237</v>
      </c>
      <c r="D7" t="s">
        <v>129</v>
      </c>
      <c r="E7" t="s">
        <v>129</v>
      </c>
      <c r="F7" t="s">
        <v>132</v>
      </c>
      <c r="G7" t="str">
        <f t="shared" si="2"/>
        <v>Water|Water|Air</v>
      </c>
      <c r="H7" t="str">
        <f t="shared" ref="H7:H70" si="3">IF(ISBLANK(F7),"",IF(COUNTIF($G$2:$G$101,G7)=1,"Yes","No"))</f>
        <v>Yes</v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I13"/>
  <sheetViews>
    <sheetView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2</v>
      </c>
      <c r="D1" s="4" t="s">
        <v>152</v>
      </c>
      <c r="E1" s="4" t="s">
        <v>210</v>
      </c>
      <c r="F1" s="4" t="s">
        <v>139</v>
      </c>
      <c r="G1" s="4" t="s">
        <v>140</v>
      </c>
      <c r="H1" s="4" t="s">
        <v>141</v>
      </c>
      <c r="I1" s="4" t="s">
        <v>109</v>
      </c>
    </row>
    <row r="2" spans="1:9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161</v>
      </c>
      <c r="F2">
        <v>1</v>
      </c>
      <c r="G2">
        <v>2</v>
      </c>
      <c r="H2">
        <v>3</v>
      </c>
      <c r="I2" t="str">
        <f>"res://items/glyphs/"&amp;A2&amp;"_glyph.png"</f>
        <v>res://items/glyphs/coal_glyph.png</v>
      </c>
    </row>
    <row r="3" spans="1:9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154</v>
      </c>
      <c r="F3">
        <v>5</v>
      </c>
      <c r="G3">
        <v>10</v>
      </c>
      <c r="H3">
        <v>15</v>
      </c>
      <c r="I3" t="str">
        <f t="shared" ref="I3:I13" si="1">"res://items/glyphs/"&amp;A3&amp;"_glyph.png"</f>
        <v>res://items/glyphs/fury_glyph.png</v>
      </c>
    </row>
    <row r="4" spans="1:9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156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162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235</v>
      </c>
      <c r="B6" t="str">
        <f t="shared" si="0"/>
        <v>Sooth</v>
      </c>
      <c r="C6" t="s">
        <v>130</v>
      </c>
      <c r="D6" t="s">
        <v>129</v>
      </c>
      <c r="E6" t="s">
        <v>155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146</v>
      </c>
      <c r="B7" t="str">
        <f t="shared" si="0"/>
        <v>Bounty</v>
      </c>
      <c r="C7" t="s">
        <v>212</v>
      </c>
      <c r="D7" t="s">
        <v>129</v>
      </c>
      <c r="E7" t="s">
        <v>211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147</v>
      </c>
      <c r="B8" t="str">
        <f t="shared" si="0"/>
        <v>Static</v>
      </c>
      <c r="C8" t="s">
        <v>131</v>
      </c>
      <c r="D8" t="s">
        <v>132</v>
      </c>
      <c r="E8" t="s">
        <v>163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153</v>
      </c>
      <c r="B9" t="str">
        <f t="shared" si="0"/>
        <v>Shear</v>
      </c>
      <c r="C9" t="s">
        <v>133</v>
      </c>
      <c r="D9" t="s">
        <v>132</v>
      </c>
      <c r="E9" t="s">
        <v>159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148</v>
      </c>
      <c r="B10" t="str">
        <f t="shared" si="0"/>
        <v>Drag</v>
      </c>
      <c r="C10" t="s">
        <v>134</v>
      </c>
      <c r="D10" t="s">
        <v>132</v>
      </c>
      <c r="E10" t="s">
        <v>157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149</v>
      </c>
      <c r="B11" t="str">
        <f t="shared" si="0"/>
        <v>Blight</v>
      </c>
      <c r="C11" t="s">
        <v>135</v>
      </c>
      <c r="D11" t="s">
        <v>136</v>
      </c>
      <c r="E11" t="s">
        <v>164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150</v>
      </c>
      <c r="B12" t="str">
        <f t="shared" si="0"/>
        <v>Dense</v>
      </c>
      <c r="C12" t="s">
        <v>137</v>
      </c>
      <c r="D12" t="s">
        <v>136</v>
      </c>
      <c r="E12" t="s">
        <v>158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151</v>
      </c>
      <c r="B13" t="str">
        <f t="shared" si="0"/>
        <v>Crush</v>
      </c>
      <c r="C13" t="s">
        <v>138</v>
      </c>
      <c r="D13" t="s">
        <v>136</v>
      </c>
      <c r="E13" t="s">
        <v>160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tabSelected="1" workbookViewId="0">
      <selection activeCell="G9" sqref="G9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219</v>
      </c>
      <c r="D1" s="4" t="s">
        <v>2</v>
      </c>
      <c r="E1" s="4" t="s">
        <v>214</v>
      </c>
      <c r="F1" s="4" t="s">
        <v>215</v>
      </c>
      <c r="G1" s="4" t="s">
        <v>216</v>
      </c>
      <c r="I1" s="4" t="s">
        <v>14</v>
      </c>
    </row>
    <row r="2" spans="1:9" x14ac:dyDescent="0.25">
      <c r="A2" t="s">
        <v>218</v>
      </c>
      <c r="B2" t="str">
        <f t="shared" ref="B2:B4" si="0">PROPER(SUBSTITUTE(A2,"_"," "))</f>
        <v>Haunt</v>
      </c>
      <c r="C2" t="s">
        <v>202</v>
      </c>
      <c r="D2" t="s">
        <v>223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221</v>
      </c>
      <c r="B3" t="str">
        <f t="shared" si="0"/>
        <v>Possesion</v>
      </c>
      <c r="C3" t="s">
        <v>202</v>
      </c>
      <c r="D3" t="s">
        <v>224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227</v>
      </c>
      <c r="B4" t="str">
        <f t="shared" si="0"/>
        <v>Trail</v>
      </c>
      <c r="C4" t="s">
        <v>225</v>
      </c>
      <c r="D4" t="s">
        <v>228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229</v>
      </c>
      <c r="B5" t="str">
        <f t="shared" ref="B5:B12" si="2">PROPER(SUBSTITUTE(A5,"_"," "))</f>
        <v>Kindling</v>
      </c>
      <c r="C5" t="s">
        <v>225</v>
      </c>
      <c r="D5" t="s">
        <v>230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232</v>
      </c>
      <c r="B6" t="str">
        <f t="shared" si="2"/>
        <v>Spark</v>
      </c>
      <c r="C6" t="s">
        <v>225</v>
      </c>
      <c r="D6" t="s">
        <v>231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A7" t="s">
        <v>247</v>
      </c>
      <c r="B7" t="str">
        <f t="shared" si="2"/>
        <v>Chain</v>
      </c>
      <c r="C7" t="s">
        <v>200</v>
      </c>
      <c r="D7" t="s">
        <v>238</v>
      </c>
      <c r="E7" t="s">
        <v>129</v>
      </c>
      <c r="F7" t="s">
        <v>132</v>
      </c>
      <c r="G7" t="s">
        <v>125</v>
      </c>
      <c r="H7" t="str">
        <f t="shared" si="1"/>
        <v>Water|Air|Fire</v>
      </c>
    </row>
    <row r="8" spans="1:9" x14ac:dyDescent="0.25">
      <c r="A8" t="s">
        <v>248</v>
      </c>
      <c r="B8" t="str">
        <f t="shared" si="2"/>
        <v>Conductor</v>
      </c>
      <c r="C8" t="s">
        <v>200</v>
      </c>
      <c r="D8" t="s">
        <v>239</v>
      </c>
      <c r="E8" t="s">
        <v>132</v>
      </c>
      <c r="F8" t="s">
        <v>129</v>
      </c>
      <c r="G8" t="s">
        <v>129</v>
      </c>
      <c r="H8" t="str">
        <f t="shared" si="1"/>
        <v>Air|Water|Water</v>
      </c>
    </row>
    <row r="9" spans="1:9" x14ac:dyDescent="0.25">
      <c r="A9" t="s">
        <v>249</v>
      </c>
      <c r="B9" t="str">
        <f t="shared" si="2"/>
        <v>Reach</v>
      </c>
      <c r="C9" t="s">
        <v>200</v>
      </c>
      <c r="D9" t="s">
        <v>240</v>
      </c>
      <c r="E9" t="s">
        <v>132</v>
      </c>
      <c r="F9" t="s">
        <v>136</v>
      </c>
      <c r="G9" t="s">
        <v>136</v>
      </c>
      <c r="H9" t="str">
        <f t="shared" si="1"/>
        <v>Air|Earth|Earth</v>
      </c>
    </row>
    <row r="10" spans="1:9" x14ac:dyDescent="0.25">
      <c r="A10" t="s">
        <v>245</v>
      </c>
      <c r="B10" t="str">
        <f t="shared" si="2"/>
        <v>Splinter</v>
      </c>
      <c r="C10" t="s">
        <v>236</v>
      </c>
      <c r="D10" t="s">
        <v>241</v>
      </c>
      <c r="H10" t="str">
        <f t="shared" si="1"/>
        <v/>
      </c>
    </row>
    <row r="11" spans="1:9" x14ac:dyDescent="0.25">
      <c r="A11" t="s">
        <v>246</v>
      </c>
      <c r="B11" t="str">
        <f t="shared" si="2"/>
        <v>Lethal</v>
      </c>
      <c r="C11" t="s">
        <v>236</v>
      </c>
      <c r="D11" t="s">
        <v>242</v>
      </c>
      <c r="H11" t="str">
        <f t="shared" si="1"/>
        <v/>
      </c>
    </row>
    <row r="12" spans="1:9" x14ac:dyDescent="0.25">
      <c r="A12" t="s">
        <v>244</v>
      </c>
      <c r="B12" t="str">
        <f t="shared" si="2"/>
        <v>Shatter</v>
      </c>
      <c r="C12" t="s">
        <v>236</v>
      </c>
      <c r="D12" t="s">
        <v>243</v>
      </c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165</v>
      </c>
      <c r="B2" t="str">
        <f t="shared" ref="B2:B18" si="0">PROPER(SUBSTITUTE(A2,"_"," "))</f>
        <v>Wayward</v>
      </c>
      <c r="C2" t="s">
        <v>167</v>
      </c>
    </row>
    <row r="3" spans="1:3" x14ac:dyDescent="0.25">
      <c r="A3" t="s">
        <v>222</v>
      </c>
      <c r="B3" t="str">
        <f t="shared" si="0"/>
        <v>Attracted</v>
      </c>
      <c r="C3" t="s">
        <v>168</v>
      </c>
    </row>
    <row r="4" spans="1:3" x14ac:dyDescent="0.25">
      <c r="A4" t="s">
        <v>169</v>
      </c>
      <c r="B4" t="str">
        <f t="shared" si="0"/>
        <v>Spite</v>
      </c>
      <c r="C4" t="s">
        <v>170</v>
      </c>
    </row>
    <row r="5" spans="1:3" x14ac:dyDescent="0.25">
      <c r="A5" t="s">
        <v>171</v>
      </c>
      <c r="B5" t="str">
        <f t="shared" si="0"/>
        <v>Rooted</v>
      </c>
      <c r="C5" t="s">
        <v>172</v>
      </c>
    </row>
    <row r="6" spans="1:3" x14ac:dyDescent="0.25">
      <c r="A6" t="s">
        <v>174</v>
      </c>
      <c r="B6" t="str">
        <f t="shared" si="0"/>
        <v>Patrol</v>
      </c>
      <c r="C6" t="s">
        <v>173</v>
      </c>
    </row>
    <row r="7" spans="1:3" x14ac:dyDescent="0.25">
      <c r="A7" t="s">
        <v>175</v>
      </c>
      <c r="B7" t="str">
        <f t="shared" si="0"/>
        <v>Familiar</v>
      </c>
      <c r="C7" t="s">
        <v>176</v>
      </c>
    </row>
    <row r="8" spans="1:3" x14ac:dyDescent="0.25">
      <c r="A8" t="s">
        <v>177</v>
      </c>
      <c r="B8" t="str">
        <f t="shared" si="0"/>
        <v>Rail</v>
      </c>
      <c r="C8" t="s">
        <v>178</v>
      </c>
    </row>
    <row r="9" spans="1:3" x14ac:dyDescent="0.25">
      <c r="A9" t="s">
        <v>179</v>
      </c>
      <c r="B9" t="str">
        <f t="shared" si="0"/>
        <v>Tide</v>
      </c>
      <c r="C9" t="s">
        <v>180</v>
      </c>
    </row>
    <row r="10" spans="1:3" x14ac:dyDescent="0.25">
      <c r="A10" t="s">
        <v>181</v>
      </c>
      <c r="B10" t="str">
        <f t="shared" si="0"/>
        <v>Blink</v>
      </c>
      <c r="C10" t="s">
        <v>182</v>
      </c>
    </row>
    <row r="11" spans="1:3" x14ac:dyDescent="0.25">
      <c r="A11" t="s">
        <v>183</v>
      </c>
      <c r="B11" t="str">
        <f t="shared" si="0"/>
        <v>Loyal</v>
      </c>
      <c r="C11" t="s">
        <v>184</v>
      </c>
    </row>
    <row r="12" spans="1:3" x14ac:dyDescent="0.25">
      <c r="A12" t="s">
        <v>185</v>
      </c>
      <c r="B12" t="str">
        <f t="shared" si="0"/>
        <v>Hexed</v>
      </c>
      <c r="C12" t="s">
        <v>186</v>
      </c>
    </row>
    <row r="13" spans="1:3" x14ac:dyDescent="0.25">
      <c r="A13" t="s">
        <v>187</v>
      </c>
      <c r="B13" t="str">
        <f t="shared" si="0"/>
        <v>Stalker</v>
      </c>
      <c r="C13" t="s">
        <v>188</v>
      </c>
    </row>
    <row r="14" spans="1:3" x14ac:dyDescent="0.25">
      <c r="A14" t="s">
        <v>189</v>
      </c>
      <c r="B14" t="str">
        <f t="shared" si="0"/>
        <v>Herd</v>
      </c>
      <c r="C14" t="s">
        <v>192</v>
      </c>
    </row>
    <row r="15" spans="1:3" x14ac:dyDescent="0.25">
      <c r="A15" t="s">
        <v>190</v>
      </c>
      <c r="B15" t="str">
        <f t="shared" si="0"/>
        <v>Greedy</v>
      </c>
      <c r="C15" t="s">
        <v>191</v>
      </c>
    </row>
    <row r="16" spans="1:3" x14ac:dyDescent="0.25">
      <c r="A16" t="s">
        <v>193</v>
      </c>
      <c r="B16" t="str">
        <f t="shared" si="0"/>
        <v>Oathbound</v>
      </c>
      <c r="C16" t="s">
        <v>194</v>
      </c>
    </row>
    <row r="17" spans="1:3" x14ac:dyDescent="0.25">
      <c r="A17" t="s">
        <v>195</v>
      </c>
      <c r="B17" t="str">
        <f t="shared" si="0"/>
        <v>Echo</v>
      </c>
      <c r="C17" t="s">
        <v>196</v>
      </c>
    </row>
    <row r="18" spans="1:3" x14ac:dyDescent="0.25">
      <c r="A18" t="s">
        <v>197</v>
      </c>
      <c r="B18" t="str">
        <f t="shared" si="0"/>
        <v>Phasing</v>
      </c>
      <c r="C18" t="s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213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214</v>
      </c>
      <c r="C5" s="11" t="s">
        <v>119</v>
      </c>
    </row>
    <row r="6" spans="1:3" x14ac:dyDescent="0.25">
      <c r="A6" s="11" t="s">
        <v>123</v>
      </c>
      <c r="B6" s="11" t="s">
        <v>215</v>
      </c>
      <c r="C6" s="11" t="s">
        <v>119</v>
      </c>
    </row>
    <row r="7" spans="1:3" x14ac:dyDescent="0.25">
      <c r="A7" s="11" t="s">
        <v>123</v>
      </c>
      <c r="B7" s="11" t="s">
        <v>216</v>
      </c>
      <c r="C7" s="11" t="s">
        <v>119</v>
      </c>
    </row>
    <row r="8" spans="1:3" x14ac:dyDescent="0.25">
      <c r="A8" s="11" t="s">
        <v>123</v>
      </c>
      <c r="B8" s="11" t="s">
        <v>166</v>
      </c>
      <c r="C8" s="11" t="s">
        <v>119</v>
      </c>
    </row>
    <row r="9" spans="1:3" x14ac:dyDescent="0.25">
      <c r="A9" s="11" t="s">
        <v>123</v>
      </c>
      <c r="B9" s="11" t="s">
        <v>154</v>
      </c>
      <c r="C9" s="11" t="s">
        <v>122</v>
      </c>
    </row>
    <row r="10" spans="1:3" x14ac:dyDescent="0.25">
      <c r="A10" s="11" t="s">
        <v>123</v>
      </c>
      <c r="B10" s="11" t="s">
        <v>155</v>
      </c>
      <c r="C10" s="11" t="s">
        <v>122</v>
      </c>
    </row>
    <row r="11" spans="1:3" x14ac:dyDescent="0.25">
      <c r="A11" s="11" t="s">
        <v>123</v>
      </c>
      <c r="B11" s="11" t="s">
        <v>156</v>
      </c>
      <c r="C11" s="11" t="s">
        <v>122</v>
      </c>
    </row>
    <row r="12" spans="1:3" x14ac:dyDescent="0.25">
      <c r="A12" s="11" t="s">
        <v>123</v>
      </c>
      <c r="B12" s="11" t="s">
        <v>157</v>
      </c>
      <c r="C12" s="11" t="s">
        <v>122</v>
      </c>
    </row>
    <row r="13" spans="1:3" x14ac:dyDescent="0.25">
      <c r="A13" s="11" t="s">
        <v>123</v>
      </c>
      <c r="B13" s="11" t="s">
        <v>158</v>
      </c>
      <c r="C13" s="11" t="s">
        <v>122</v>
      </c>
    </row>
    <row r="14" spans="1:3" x14ac:dyDescent="0.25">
      <c r="A14" s="11" t="s">
        <v>123</v>
      </c>
      <c r="B14" s="11" t="s">
        <v>159</v>
      </c>
      <c r="C14" s="11" t="s">
        <v>122</v>
      </c>
    </row>
    <row r="15" spans="1:3" x14ac:dyDescent="0.25">
      <c r="A15" s="11" t="s">
        <v>123</v>
      </c>
      <c r="B15" s="11" t="s">
        <v>160</v>
      </c>
      <c r="C15" s="11" t="s">
        <v>122</v>
      </c>
    </row>
    <row r="16" spans="1:3" x14ac:dyDescent="0.25">
      <c r="A16" s="11" t="s">
        <v>123</v>
      </c>
      <c r="B16" s="11" t="s">
        <v>211</v>
      </c>
      <c r="C16" s="11" t="s">
        <v>122</v>
      </c>
    </row>
    <row r="17" spans="1:3" x14ac:dyDescent="0.25">
      <c r="A17" s="11" t="s">
        <v>123</v>
      </c>
      <c r="B17" s="11" t="s">
        <v>161</v>
      </c>
      <c r="C17" s="11" t="s">
        <v>120</v>
      </c>
    </row>
    <row r="18" spans="1:3" x14ac:dyDescent="0.25">
      <c r="A18" s="11" t="s">
        <v>123</v>
      </c>
      <c r="B18" s="11" t="s">
        <v>162</v>
      </c>
      <c r="C18" s="11" t="s">
        <v>120</v>
      </c>
    </row>
    <row r="19" spans="1:3" x14ac:dyDescent="0.25">
      <c r="A19" s="11" t="s">
        <v>123</v>
      </c>
      <c r="B19" s="11" t="s">
        <v>163</v>
      </c>
      <c r="C19" s="11" t="s">
        <v>120</v>
      </c>
    </row>
    <row r="20" spans="1:3" x14ac:dyDescent="0.25">
      <c r="A20" s="11" t="s">
        <v>123</v>
      </c>
      <c r="B20" s="11" t="s">
        <v>164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205</v>
      </c>
      <c r="B23" s="12" t="s">
        <v>0</v>
      </c>
      <c r="C23" s="12" t="s">
        <v>119</v>
      </c>
    </row>
    <row r="24" spans="1:3" x14ac:dyDescent="0.25">
      <c r="A24" s="12" t="s">
        <v>205</v>
      </c>
      <c r="B24" s="12" t="s">
        <v>1</v>
      </c>
      <c r="C24" s="12" t="s">
        <v>119</v>
      </c>
    </row>
    <row r="25" spans="1:3" x14ac:dyDescent="0.25">
      <c r="A25" s="12" t="s">
        <v>205</v>
      </c>
      <c r="B25" s="12" t="s">
        <v>2</v>
      </c>
      <c r="C25" s="12" t="s">
        <v>119</v>
      </c>
    </row>
    <row r="26" spans="1:3" x14ac:dyDescent="0.25">
      <c r="A26" s="12" t="s">
        <v>205</v>
      </c>
      <c r="B26" s="12" t="s">
        <v>152</v>
      </c>
      <c r="C26" s="12" t="s">
        <v>119</v>
      </c>
    </row>
    <row r="27" spans="1:3" x14ac:dyDescent="0.25">
      <c r="A27" s="12" t="s">
        <v>205</v>
      </c>
      <c r="B27" s="12" t="s">
        <v>210</v>
      </c>
      <c r="C27" s="12" t="s">
        <v>119</v>
      </c>
    </row>
    <row r="28" spans="1:3" x14ac:dyDescent="0.25">
      <c r="A28" s="12" t="s">
        <v>205</v>
      </c>
      <c r="B28" s="12" t="s">
        <v>139</v>
      </c>
      <c r="C28" s="12" t="s">
        <v>122</v>
      </c>
    </row>
    <row r="29" spans="1:3" x14ac:dyDescent="0.25">
      <c r="A29" s="12" t="s">
        <v>205</v>
      </c>
      <c r="B29" s="12" t="s">
        <v>140</v>
      </c>
      <c r="C29" s="12" t="s">
        <v>122</v>
      </c>
    </row>
    <row r="30" spans="1:3" x14ac:dyDescent="0.25">
      <c r="A30" s="12" t="s">
        <v>205</v>
      </c>
      <c r="B30" s="12" t="s">
        <v>141</v>
      </c>
      <c r="C30" s="12" t="s">
        <v>122</v>
      </c>
    </row>
    <row r="31" spans="1:3" x14ac:dyDescent="0.25">
      <c r="A31" s="12" t="s">
        <v>205</v>
      </c>
      <c r="B31" s="12" t="s">
        <v>109</v>
      </c>
      <c r="C31" s="12" t="s">
        <v>119</v>
      </c>
    </row>
    <row r="32" spans="1:3" x14ac:dyDescent="0.25">
      <c r="A32" s="15" t="s">
        <v>220</v>
      </c>
      <c r="B32" s="15" t="s">
        <v>0</v>
      </c>
      <c r="C32" s="15" t="s">
        <v>119</v>
      </c>
    </row>
    <row r="33" spans="1:3" x14ac:dyDescent="0.25">
      <c r="A33" s="15" t="s">
        <v>220</v>
      </c>
      <c r="B33" s="15" t="s">
        <v>1</v>
      </c>
      <c r="C33" s="15" t="s">
        <v>119</v>
      </c>
    </row>
    <row r="34" spans="1:3" x14ac:dyDescent="0.25">
      <c r="A34" s="15" t="s">
        <v>220</v>
      </c>
      <c r="B34" s="15" t="s">
        <v>219</v>
      </c>
      <c r="C34" s="15" t="s">
        <v>119</v>
      </c>
    </row>
    <row r="35" spans="1:3" x14ac:dyDescent="0.25">
      <c r="A35" s="15" t="s">
        <v>220</v>
      </c>
      <c r="B35" s="15" t="s">
        <v>2</v>
      </c>
      <c r="C35" s="15" t="s">
        <v>119</v>
      </c>
    </row>
    <row r="36" spans="1:3" x14ac:dyDescent="0.25">
      <c r="A36" s="15" t="s">
        <v>220</v>
      </c>
      <c r="B36" s="15" t="s">
        <v>214</v>
      </c>
      <c r="C36" s="15" t="s">
        <v>119</v>
      </c>
    </row>
    <row r="37" spans="1:3" x14ac:dyDescent="0.25">
      <c r="A37" s="15" t="s">
        <v>220</v>
      </c>
      <c r="B37" s="15" t="s">
        <v>215</v>
      </c>
      <c r="C37" s="15" t="s">
        <v>119</v>
      </c>
    </row>
    <row r="38" spans="1:3" ht="15.75" customHeight="1" x14ac:dyDescent="0.25">
      <c r="A38" s="15" t="s">
        <v>220</v>
      </c>
      <c r="B38" s="15" t="s">
        <v>216</v>
      </c>
      <c r="C38" s="15" t="s">
        <v>119</v>
      </c>
    </row>
    <row r="39" spans="1:3" ht="15.75" customHeight="1" x14ac:dyDescent="0.25">
      <c r="A39" s="15" t="s">
        <v>220</v>
      </c>
      <c r="B39" s="15" t="s">
        <v>14</v>
      </c>
      <c r="C39" s="15" t="s">
        <v>121</v>
      </c>
    </row>
    <row r="40" spans="1:3" x14ac:dyDescent="0.25">
      <c r="A40" s="14" t="s">
        <v>166</v>
      </c>
      <c r="B40" s="14" t="s">
        <v>0</v>
      </c>
      <c r="C40" s="14" t="s">
        <v>119</v>
      </c>
    </row>
    <row r="41" spans="1:3" x14ac:dyDescent="0.25">
      <c r="A41" s="14" t="s">
        <v>166</v>
      </c>
      <c r="B41" s="14" t="s">
        <v>1</v>
      </c>
      <c r="C41" s="14" t="s">
        <v>119</v>
      </c>
    </row>
    <row r="42" spans="1:3" x14ac:dyDescent="0.25">
      <c r="A42" s="14" t="s">
        <v>166</v>
      </c>
      <c r="B42" s="14" t="s">
        <v>2</v>
      </c>
      <c r="C42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2026-09-05T16:29:53Z</dcterms:modified>
</cp:coreProperties>
</file>