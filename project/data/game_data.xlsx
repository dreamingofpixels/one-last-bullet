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Too Many Orbs\project\data\"/>
    </mc:Choice>
  </mc:AlternateContent>
  <xr:revisionPtr revIDLastSave="0" documentId="13_ncr:1_{80951A2B-1C11-435D-9992-BB287CB52316}" xr6:coauthVersionLast="47" xr6:coauthVersionMax="47" xr10:uidLastSave="{00000000-0000-0000-0000-000000000000}"/>
  <bookViews>
    <workbookView xWindow="-120" yWindow="-120" windowWidth="38640" windowHeight="21120" tabRatio="696" xr2:uid="{00000000-000D-0000-FFFF-FFFF00000000}"/>
  </bookViews>
  <sheets>
    <sheet name="orbs" sheetId="1" r:id="rId1"/>
    <sheet name="glyphs" sheetId="2" r:id="rId2"/>
    <sheet name="attribute" sheetId="8" r:id="rId3"/>
    <sheet name="attunements" sheetId="3" r:id="rId4"/>
    <sheet name="motion" sheetId="4" r:id="rId5"/>
    <sheet name="objects_OLD" sheetId="5" state="hidden" r:id="rId6"/>
    <sheet name="input" sheetId="6" r:id="rId7"/>
    <sheet name="schema" sheetId="7" r:id="rId8"/>
  </sheets>
  <definedNames>
    <definedName name="_xlnm._FilterDatabase" localSheetId="5" hidden="1">objects_OLD!$A$1:$U$53</definedName>
    <definedName name="_xlnm._FilterDatabase" localSheetId="0" hidden="1">orbs!$A$1:$W$44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3" l="1"/>
  <c r="B18" i="3"/>
  <c r="B3" i="8"/>
  <c r="B4" i="8"/>
  <c r="B5" i="8"/>
  <c r="B6" i="8"/>
  <c r="B7" i="8"/>
  <c r="B8" i="8"/>
  <c r="B9" i="8"/>
  <c r="B10" i="8"/>
  <c r="B11" i="8"/>
  <c r="B12" i="8"/>
  <c r="B13" i="8"/>
  <c r="B2" i="8"/>
  <c r="B2" i="1"/>
  <c r="B3" i="1"/>
  <c r="B4" i="1"/>
  <c r="B5" i="1"/>
  <c r="B6" i="1"/>
  <c r="B7" i="1"/>
  <c r="B8" i="1"/>
  <c r="B9" i="1"/>
  <c r="B10" i="1"/>
  <c r="B11" i="1"/>
  <c r="B12" i="1"/>
  <c r="B24" i="3"/>
  <c r="B25" i="3"/>
  <c r="B23" i="3"/>
  <c r="B22" i="3"/>
  <c r="V13" i="1"/>
  <c r="V12" i="1"/>
  <c r="V7" i="1"/>
  <c r="V8" i="1"/>
  <c r="V9" i="1"/>
  <c r="V10" i="1"/>
  <c r="V11" i="1"/>
  <c r="V6" i="1"/>
  <c r="V3" i="1"/>
  <c r="V4" i="1"/>
  <c r="V5" i="1"/>
  <c r="V2" i="1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B21" i="3"/>
  <c r="H20" i="3"/>
  <c r="B20" i="3"/>
  <c r="H19" i="3"/>
  <c r="B19" i="3"/>
  <c r="H17" i="3"/>
  <c r="B17" i="3"/>
  <c r="H16" i="3"/>
  <c r="B16" i="3"/>
  <c r="H15" i="3"/>
  <c r="B15" i="3"/>
  <c r="H14" i="3"/>
  <c r="B14" i="3"/>
  <c r="H13" i="3"/>
  <c r="B13" i="3"/>
  <c r="H12" i="3"/>
  <c r="B12" i="3"/>
  <c r="H11" i="3"/>
  <c r="B11" i="3"/>
  <c r="H10" i="3"/>
  <c r="B10" i="3"/>
  <c r="H9" i="3"/>
  <c r="B9" i="3"/>
  <c r="H8" i="3"/>
  <c r="B8" i="3"/>
  <c r="H7" i="3"/>
  <c r="B7" i="3"/>
  <c r="H6" i="3"/>
  <c r="B6" i="3"/>
  <c r="H5" i="3"/>
  <c r="B5" i="3"/>
  <c r="H4" i="3"/>
  <c r="B4" i="3"/>
  <c r="H3" i="3"/>
  <c r="B3" i="3"/>
  <c r="H2" i="3"/>
  <c r="B2" i="3"/>
  <c r="I13" i="2"/>
  <c r="B13" i="2"/>
  <c r="I12" i="2"/>
  <c r="B12" i="2"/>
  <c r="I11" i="2"/>
  <c r="B11" i="2"/>
  <c r="I10" i="2"/>
  <c r="B10" i="2"/>
  <c r="I9" i="2"/>
  <c r="B9" i="2"/>
  <c r="I8" i="2"/>
  <c r="B8" i="2"/>
  <c r="I7" i="2"/>
  <c r="B7" i="2"/>
  <c r="I6" i="2"/>
  <c r="B6" i="2"/>
  <c r="I5" i="2"/>
  <c r="B5" i="2"/>
  <c r="I4" i="2"/>
  <c r="B4" i="2"/>
  <c r="I3" i="2"/>
  <c r="B3" i="2"/>
  <c r="I2" i="2"/>
  <c r="B2" i="2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G18" i="1"/>
  <c r="H18" i="1" s="1"/>
  <c r="B18" i="1"/>
  <c r="G17" i="1"/>
  <c r="B17" i="1"/>
  <c r="G16" i="1"/>
  <c r="B16" i="1"/>
  <c r="G15" i="1"/>
  <c r="B15" i="1"/>
  <c r="G14" i="1"/>
  <c r="B14" i="1"/>
  <c r="G13" i="1"/>
  <c r="B13" i="1"/>
  <c r="G12" i="1"/>
  <c r="G11" i="1"/>
  <c r="G10" i="1"/>
  <c r="G9" i="1"/>
  <c r="G8" i="1"/>
  <c r="G7" i="1"/>
  <c r="G6" i="1"/>
  <c r="G5" i="1"/>
  <c r="G4" i="1"/>
  <c r="G3" i="1"/>
  <c r="H2" i="1"/>
  <c r="H15" i="1" l="1"/>
  <c r="H14" i="1"/>
  <c r="H17" i="1"/>
  <c r="H16" i="1"/>
  <c r="H13" i="1"/>
  <c r="H12" i="1"/>
  <c r="H6" i="1"/>
  <c r="H5" i="1"/>
  <c r="H7" i="1"/>
  <c r="H9" i="1"/>
  <c r="H4" i="1"/>
  <c r="H11" i="1"/>
  <c r="H10" i="1"/>
  <c r="H3" i="1"/>
  <c r="H8" i="1"/>
</calcChain>
</file>

<file path=xl/sharedStrings.xml><?xml version="1.0" encoding="utf-8"?>
<sst xmlns="http://schemas.openxmlformats.org/spreadsheetml/2006/main" count="675" uniqueCount="308">
  <si>
    <t>id</t>
  </si>
  <si>
    <t>name</t>
  </si>
  <si>
    <t>effect</t>
  </si>
  <si>
    <t>element_1</t>
  </si>
  <si>
    <t>element_2</t>
  </si>
  <si>
    <t>element_3</t>
  </si>
  <si>
    <t>unique?</t>
  </si>
  <si>
    <t>motion</t>
  </si>
  <si>
    <t>damage</t>
  </si>
  <si>
    <t>self_damage</t>
  </si>
  <si>
    <t>crit_chance</t>
  </si>
  <si>
    <t>crit_damage</t>
  </si>
  <si>
    <t>speed</t>
  </si>
  <si>
    <t>weight</t>
  </si>
  <si>
    <t>splash</t>
  </si>
  <si>
    <t>glyph_drop</t>
  </si>
  <si>
    <t>burn</t>
  </si>
  <si>
    <t>chill</t>
  </si>
  <si>
    <t>shock</t>
  </si>
  <si>
    <t>poison</t>
  </si>
  <si>
    <t>scene_path</t>
  </si>
  <si>
    <t>active</t>
  </si>
  <si>
    <t>blank</t>
  </si>
  <si>
    <t>No effect</t>
  </si>
  <si>
    <t>wayward</t>
  </si>
  <si>
    <t>conduit</t>
  </si>
  <si>
    <t>When you are within 120 meters of the orb, create a tether between you dealing 3 DPS to enemies touching it</t>
  </si>
  <si>
    <t>Air</t>
  </si>
  <si>
    <t>Fire</t>
  </si>
  <si>
    <t>contagion</t>
  </si>
  <si>
    <t>Earth</t>
  </si>
  <si>
    <t>ghost</t>
  </si>
  <si>
    <t>inferno</t>
  </si>
  <si>
    <t>shard</t>
  </si>
  <si>
    <t>Water</t>
  </si>
  <si>
    <t>runic</t>
  </si>
  <si>
    <t>guardian</t>
  </si>
  <si>
    <t>Creates a shield around the orb. Any players within it take 50% less damage.</t>
  </si>
  <si>
    <t>mend</t>
  </si>
  <si>
    <t>Does no self-damage. Players hit heal 10 hp instead</t>
  </si>
  <si>
    <t>destroyer</t>
  </si>
  <si>
    <t>spite</t>
  </si>
  <si>
    <t>desc</t>
  </si>
  <si>
    <t>element</t>
  </si>
  <si>
    <t>attribute</t>
  </si>
  <si>
    <t>rarity_common</t>
  </si>
  <si>
    <t>rarity_rare</t>
  </si>
  <si>
    <t>rarity_unique</t>
  </si>
  <si>
    <t>coal</t>
  </si>
  <si>
    <t>Burn on enemy hit</t>
  </si>
  <si>
    <t>fury</t>
  </si>
  <si>
    <t>Damage</t>
  </si>
  <si>
    <t>blast</t>
  </si>
  <si>
    <t>On hit, that % of the damage also hits nearby enemies</t>
  </si>
  <si>
    <t>rime</t>
  </si>
  <si>
    <t>Chill enemy on hit</t>
  </si>
  <si>
    <t>sooth</t>
  </si>
  <si>
    <t>This orb deals less damage to players</t>
  </si>
  <si>
    <t>bounty</t>
  </si>
  <si>
    <t>Glyph drop chance from enemies</t>
  </si>
  <si>
    <t>static</t>
  </si>
  <si>
    <t>Shock on enemy hit</t>
  </si>
  <si>
    <t>shear</t>
  </si>
  <si>
    <t>Critical chance</t>
  </si>
  <si>
    <t>drag</t>
  </si>
  <si>
    <t>Decreases speed</t>
  </si>
  <si>
    <t>blight</t>
  </si>
  <si>
    <t>dense</t>
  </si>
  <si>
    <t>Increases weight</t>
  </si>
  <si>
    <t>crush</t>
  </si>
  <si>
    <t>Critical damage</t>
  </si>
  <si>
    <t>orb_id</t>
  </si>
  <si>
    <t>haunt</t>
  </si>
  <si>
    <t>Changes Motion to Attracted</t>
  </si>
  <si>
    <t>possesion</t>
  </si>
  <si>
    <t>Makes haunted enemy attack other enemies</t>
  </si>
  <si>
    <t>trail</t>
  </si>
  <si>
    <t>Fire trail lasts 4 seconds</t>
  </si>
  <si>
    <t>kindling</t>
  </si>
  <si>
    <t>Dashing through a fire trail extends it</t>
  </si>
  <si>
    <t>spark</t>
  </si>
  <si>
    <t>When colliding with another orb, a fire trail is made</t>
  </si>
  <si>
    <t>chain</t>
  </si>
  <si>
    <t>Beam now chains to enemies between you and the orb</t>
  </si>
  <si>
    <t>conductor</t>
  </si>
  <si>
    <t>More beams connect to other orbs and players</t>
  </si>
  <si>
    <t>reach</t>
  </si>
  <si>
    <t>Range of the tether greatly increases</t>
  </si>
  <si>
    <t>splinter</t>
  </si>
  <si>
    <t>When a shard breaks, two smaller shards shoot out dealing 10 damage and inflicting 1 Chill</t>
  </si>
  <si>
    <t>lethal</t>
  </si>
  <si>
    <t>Shoots twice as many shards</t>
  </si>
  <si>
    <t>shatter</t>
  </si>
  <si>
    <t>carrion</t>
  </si>
  <si>
    <t>outbreak</t>
  </si>
  <si>
    <t>virulence</t>
  </si>
  <si>
    <t>Any picked up glyph goes up in rarity</t>
  </si>
  <si>
    <t>hoarder</t>
  </si>
  <si>
    <t>affinity</t>
  </si>
  <si>
    <t>retribution</t>
  </si>
  <si>
    <t>Shield reflects enemy projectiles back at them</t>
  </si>
  <si>
    <t>flexible</t>
  </si>
  <si>
    <t>While in the shield, players can dash with no cooldown</t>
  </si>
  <si>
    <t>shield</t>
  </si>
  <si>
    <t>Greatly extends the shields area</t>
  </si>
  <si>
    <t>Straight flight, bounce off solids</t>
  </si>
  <si>
    <t>attracted</t>
  </si>
  <si>
    <t>Steer toward nearest enemy</t>
  </si>
  <si>
    <t>Steer toward the player</t>
  </si>
  <si>
    <t>rooted</t>
  </si>
  <si>
    <t>Stops in place</t>
  </si>
  <si>
    <t>patrol</t>
  </si>
  <si>
    <t>Travels in a circle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</si>
  <si>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</si>
  <si>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</si>
  <si>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</si>
  <si>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</si>
  <si>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</si>
  <si>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</si>
  <si>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</si>
  <si>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</si>
  <si>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</si>
  <si>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</si>
  <si>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</si>
  <si>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</si>
  <si>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</si>
  <si>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</si>
  <si>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</si>
  <si>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Steer towards other orbs</t>
  </si>
  <si>
    <t>greedy</t>
  </si>
  <si>
    <t>Steers towards glyphs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</si>
  <si>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</si>
  <si>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</si>
  <si>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</si>
  <si>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</si>
  <si>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</si>
  <si>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</si>
  <si>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type</t>
  </si>
  <si>
    <t>fun</t>
  </si>
  <si>
    <t>nourishment</t>
  </si>
  <si>
    <t>comfort</t>
  </si>
  <si>
    <t>security</t>
  </si>
  <si>
    <t>hygiene</t>
  </si>
  <si>
    <t>decor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</si>
  <si>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</si>
  <si>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</si>
  <si>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</si>
  <si>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</si>
  <si>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</si>
  <si>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</si>
  <si>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</si>
  <si>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</si>
  <si>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</si>
  <si>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</si>
  <si>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</si>
  <si>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</si>
  <si>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</si>
  <si>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</si>
  <si>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</si>
  <si>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</si>
  <si>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</si>
  <si>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</si>
  <si>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</si>
  <si>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</si>
  <si>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</si>
  <si>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</si>
  <si>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</si>
  <si>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</si>
  <si>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</si>
  <si>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</si>
  <si>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</si>
  <si>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</si>
  <si>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</si>
  <si>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</si>
  <si>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</si>
  <si>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</si>
  <si>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</si>
  <si>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</si>
  <si>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</si>
  <si>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</si>
  <si>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</si>
  <si>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Increases all decor in the room by 10%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</si>
  <si>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</si>
  <si>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</si>
  <si>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</si>
  <si>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</si>
  <si>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</si>
  <si>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</si>
  <si>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</si>
  <si>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</si>
  <si>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</si>
  <si>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</si>
  <si>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</si>
  <si>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</si>
  <si>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</si>
  <si>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</si>
  <si>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</si>
  <si>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</si>
  <si>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</si>
  <si>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+1 decor for every plant in the room</t>
  </si>
  <si>
    <t>chamber_pot</t>
  </si>
  <si>
    <t>For relieving oneself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</si>
  <si>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</si>
  <si>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</si>
  <si>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</si>
  <si>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</si>
  <si>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</si>
  <si>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</si>
  <si>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</si>
  <si>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</si>
  <si>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</si>
  <si>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</si>
  <si>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</si>
  <si>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</si>
  <si>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</si>
  <si>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</si>
  <si>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</si>
  <si>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</si>
  <si>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</si>
  <si>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</si>
  <si>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</si>
  <si>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</si>
  <si>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</si>
  <si>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</si>
  <si>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</si>
  <si>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</si>
  <si>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</si>
  <si>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</si>
  <si>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</si>
  <si>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</si>
  <si>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</si>
  <si>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</si>
  <si>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</si>
  <si>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</si>
  <si>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</si>
  <si>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</si>
  <si>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</si>
  <si>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</si>
  <si>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</si>
  <si>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</si>
  <si>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</si>
  <si>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</si>
  <si>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</si>
  <si>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</si>
  <si>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</si>
  <si>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</si>
  <si>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</si>
  <si>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</si>
  <si>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orbs</t>
  </si>
  <si>
    <t>elements</t>
  </si>
  <si>
    <t>sheet</t>
  </si>
  <si>
    <t>column</t>
  </si>
  <si>
    <t>string</t>
  </si>
  <si>
    <t>float</t>
  </si>
  <si>
    <t>int</t>
  </si>
  <si>
    <t>boolean</t>
  </si>
  <si>
    <t>glyphs</t>
  </si>
  <si>
    <t>attunements</t>
  </si>
  <si>
    <t>vulcano</t>
  </si>
  <si>
    <t>lure</t>
  </si>
  <si>
    <t>On redirect, enemies follow and attack the orb instead of you for 3 seconds</t>
  </si>
  <si>
    <t>Increases player speed by 20% and own damage by 40% if player is more then 400 range away</t>
  </si>
  <si>
    <t>hunger</t>
  </si>
  <si>
    <t>vengance</t>
  </si>
  <si>
    <t>After the player takes damage, seeks out the enemy attacker for massive damage</t>
  </si>
  <si>
    <t>hunter</t>
  </si>
  <si>
    <t>Randomly marks an enemy. This orb does +20% critical damage against that enemy</t>
  </si>
  <si>
    <t>After a crit, increase crit chance by 1% permanently</t>
  </si>
  <si>
    <t>Seeks out the marked enemy</t>
  </si>
  <si>
    <t>stalk</t>
  </si>
  <si>
    <t>fright</t>
  </si>
  <si>
    <t>experience</t>
  </si>
  <si>
    <t>How fast the orb travels</t>
  </si>
  <si>
    <t>Portion of hit damage also dealt to nearby enemies</t>
  </si>
  <si>
    <t>Chance for a hit to critically strike</t>
  </si>
  <si>
    <t>Extra damage multiplier on critical hits</t>
  </si>
  <si>
    <t>Chance enemies and objects drop a glyph</t>
  </si>
  <si>
    <t>Knockback strength. Enemies slammed into each other take this as damage; breakables take more damage</t>
  </si>
  <si>
    <t>Stacks on hit. Each stack slows move and attack speed by 5% (up to 90%)</t>
  </si>
  <si>
    <t>Stacks on hit. At 10 stacks: deals 50 damage, stuns for 2 seconds, then clears</t>
  </si>
  <si>
    <t>Stacks on hit. Deals 1 damage per stack every second until the enemy dies</t>
  </si>
  <si>
    <t>Damage dealt to enemies on hit</t>
  </si>
  <si>
    <t>Damage dealt to you on contact</t>
  </si>
  <si>
    <t>Very high base stats. Chases the nearest player</t>
  </si>
  <si>
    <t>enchant</t>
  </si>
  <si>
    <t>secure</t>
  </si>
  <si>
    <t>Gets 5% damage increase for each dropped glyph</t>
  </si>
  <si>
    <t>Enters and haunts enemies and deal its damage per second to them. Once dead, exits in a random direction.</t>
  </si>
  <si>
    <t>gravity</t>
  </si>
  <si>
    <t>Slow nearby enemies by 30%</t>
  </si>
  <si>
    <t>Every destroyed object increases weight by 1</t>
  </si>
  <si>
    <t>nova</t>
  </si>
  <si>
    <t>Makes a frost nova around the orb every 3 seconds inflicting 5 Chill</t>
  </si>
  <si>
    <t>Shoots ice chards around every 3 seconds, doing 30 damage and inflicting 2 Chill</t>
  </si>
  <si>
    <t>Stacks on hit. Lowers damage dealt and increases damage received by 5% per stack.</t>
  </si>
  <si>
    <t>Blight on enemy hit</t>
  </si>
  <si>
    <t>spore</t>
  </si>
  <si>
    <t>20% chance of adding Disease status to enemies. On death half their Blight spreads to other nearby enemies</t>
  </si>
  <si>
    <t>Leaves a trail of fire after the orb for 2 seconds, inflicting 1 Burn on enemies</t>
  </si>
  <si>
    <t>The marked enemy gets 10 Chill</t>
  </si>
  <si>
    <t>All Blight stacks spread on death</t>
  </si>
  <si>
    <t>Nearby enemies also get Disease status along with the Blight</t>
  </si>
  <si>
    <t>On enemy death, a putrid cloud is left inflicting 1 Blighton passing enemies</t>
  </si>
  <si>
    <t>If orb hits an enemy with 10 or more Chill, kill it instantly</t>
  </si>
  <si>
    <t>Spews lava puddles around it. Lava inflicts 1 Burn per second on passing enemies</t>
  </si>
  <si>
    <t>While holding a glyph, inflict 5 of that glyphs corresponding elemental status to any hit enemies (burn, chill, shock or blight)</t>
  </si>
  <si>
    <t>Dropped glyphs gets a shield protecting against one damage instance</t>
  </si>
  <si>
    <t>Seeks out and picks up glyphs and drops them near the summoning circle.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</si>
</sst>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/>
  </cellStyleXfs>
  <cellXfs count="17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  <xf numFmtId="0" fontId="0" fillId="8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N9" sqref="N9"/>
    </sheetView>
  </sheetViews>
  <sheetFormatPr defaultRowHeight="15" x14ac:dyDescent="0.25"/>
  <cols>
    <col min="1" max="1" width="19.42578125" customWidth="1"/>
    <col min="2" max="2" width="17.5703125" customWidth="1"/>
    <col min="3" max="3" width="114.7109375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11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H1" s="4" t="s">
        <v>6</v>
      </c>
      <c r="I1" s="10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66</v>
      </c>
      <c r="V1" s="13" t="s">
        <v>20</v>
      </c>
      <c r="W1" s="13" t="s">
        <v>21</v>
      </c>
    </row>
    <row r="2" spans="1:23" x14ac:dyDescent="0.25">
      <c r="A2" t="s">
        <v>22</v>
      </c>
      <c r="B2" t="str">
        <f t="shared" ref="B2:B12" si="0">PROPER(SUBSTITUTE(A2,"_"," "))</f>
        <v>Blank</v>
      </c>
      <c r="C2" t="s">
        <v>23</v>
      </c>
      <c r="H2" t="str">
        <f t="shared" ref="H2:H33" si="1">IF(ISBLANK(F2),"",IF(COUNTIF($G$2:$G$101,G2)=1,"Yes","No"))</f>
        <v/>
      </c>
      <c r="I2" t="s">
        <v>24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0.1</v>
      </c>
      <c r="R2">
        <v>0</v>
      </c>
      <c r="S2">
        <v>0</v>
      </c>
      <c r="T2">
        <v>0</v>
      </c>
      <c r="U2">
        <v>0</v>
      </c>
      <c r="V2" t="str">
        <f>"res://entities/orbs/blank/"&amp;A2&amp;"_orb.tscn"</f>
        <v>res://entities/orbs/blank/blank_orb.tscn</v>
      </c>
      <c r="W2" t="b">
        <v>1</v>
      </c>
    </row>
    <row r="3" spans="1:23" x14ac:dyDescent="0.25">
      <c r="A3" t="s">
        <v>25</v>
      </c>
      <c r="B3" t="str">
        <f t="shared" si="0"/>
        <v>Conduit</v>
      </c>
      <c r="C3" t="s">
        <v>26</v>
      </c>
      <c r="D3" t="s">
        <v>27</v>
      </c>
      <c r="E3" t="s">
        <v>27</v>
      </c>
      <c r="F3" t="s">
        <v>28</v>
      </c>
      <c r="G3" t="str">
        <f t="shared" ref="G3:G34" si="2">_xlfn.TEXTJOIN("|",TRUE,_xlfn._xlws.SORT(D3:F3))</f>
        <v>Air|Air|Fire</v>
      </c>
      <c r="H3" t="str">
        <f t="shared" si="1"/>
        <v>Yes</v>
      </c>
      <c r="I3" t="s">
        <v>24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0.1</v>
      </c>
      <c r="R3">
        <v>0</v>
      </c>
      <c r="S3">
        <v>0</v>
      </c>
      <c r="T3">
        <v>3</v>
      </c>
      <c r="U3">
        <v>0</v>
      </c>
      <c r="V3" t="str">
        <f t="shared" ref="V3:V10" si="3">"res://entities/orbs/blank/"&amp;A3&amp;"_orb.tscn"</f>
        <v>res://entities/orbs/blank/conduit_orb.tscn</v>
      </c>
      <c r="W3" t="b">
        <v>1</v>
      </c>
    </row>
    <row r="4" spans="1:23" x14ac:dyDescent="0.25">
      <c r="A4" t="s">
        <v>29</v>
      </c>
      <c r="B4" t="str">
        <f t="shared" si="0"/>
        <v>Contagion</v>
      </c>
      <c r="C4" t="s">
        <v>297</v>
      </c>
      <c r="D4" t="s">
        <v>30</v>
      </c>
      <c r="E4" t="s">
        <v>30</v>
      </c>
      <c r="F4" t="s">
        <v>27</v>
      </c>
      <c r="G4" t="str">
        <f t="shared" si="2"/>
        <v>Earth|Earth|Air</v>
      </c>
      <c r="H4" t="str">
        <f t="shared" si="1"/>
        <v>Yes</v>
      </c>
      <c r="I4" t="s">
        <v>24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0.1</v>
      </c>
      <c r="R4">
        <v>0</v>
      </c>
      <c r="S4">
        <v>0</v>
      </c>
      <c r="T4">
        <v>0</v>
      </c>
      <c r="U4">
        <v>3</v>
      </c>
      <c r="V4" t="str">
        <f t="shared" si="3"/>
        <v>res://entities/orbs/blank/contagion_orb.tscn</v>
      </c>
      <c r="W4" t="b">
        <v>1</v>
      </c>
    </row>
    <row r="5" spans="1:23" x14ac:dyDescent="0.25">
      <c r="A5" t="s">
        <v>31</v>
      </c>
      <c r="B5" t="str">
        <f t="shared" si="0"/>
        <v>Ghost</v>
      </c>
      <c r="C5" t="s">
        <v>287</v>
      </c>
      <c r="D5" t="s">
        <v>27</v>
      </c>
      <c r="E5" t="s">
        <v>27</v>
      </c>
      <c r="F5" t="s">
        <v>30</v>
      </c>
      <c r="G5" t="str">
        <f t="shared" si="2"/>
        <v>Air|Air|Earth</v>
      </c>
      <c r="H5" t="str">
        <f t="shared" si="1"/>
        <v>Yes</v>
      </c>
      <c r="I5" t="s">
        <v>24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0.1</v>
      </c>
      <c r="R5">
        <v>0</v>
      </c>
      <c r="S5">
        <v>0</v>
      </c>
      <c r="T5">
        <v>0</v>
      </c>
      <c r="U5">
        <v>0</v>
      </c>
      <c r="V5" t="str">
        <f t="shared" si="3"/>
        <v>res://entities/orbs/blank/ghost_orb.tscn</v>
      </c>
      <c r="W5" t="b">
        <v>1</v>
      </c>
    </row>
    <row r="6" spans="1:23" x14ac:dyDescent="0.25">
      <c r="A6" t="s">
        <v>32</v>
      </c>
      <c r="B6" t="str">
        <f t="shared" si="0"/>
        <v>Inferno</v>
      </c>
      <c r="C6" t="s">
        <v>298</v>
      </c>
      <c r="D6" t="s">
        <v>28</v>
      </c>
      <c r="E6" t="s">
        <v>28</v>
      </c>
      <c r="F6" t="s">
        <v>28</v>
      </c>
      <c r="G6" t="str">
        <f t="shared" si="2"/>
        <v>Fire|Fire|Fire</v>
      </c>
      <c r="H6" t="str">
        <f t="shared" si="1"/>
        <v>Yes</v>
      </c>
      <c r="I6" t="s">
        <v>24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0.1</v>
      </c>
      <c r="R6">
        <v>3</v>
      </c>
      <c r="S6">
        <v>0</v>
      </c>
      <c r="T6">
        <v>0</v>
      </c>
      <c r="U6">
        <v>0</v>
      </c>
      <c r="V6" t="str">
        <f>"res://entities/orbs/blank/"&amp;A6&amp;"_orb.tscn"</f>
        <v>res://entities/orbs/blank/inferno_orb.tscn</v>
      </c>
      <c r="W6" t="b">
        <v>0</v>
      </c>
    </row>
    <row r="7" spans="1:23" x14ac:dyDescent="0.25">
      <c r="A7" t="s">
        <v>33</v>
      </c>
      <c r="B7" t="str">
        <f t="shared" si="0"/>
        <v>Shard</v>
      </c>
      <c r="C7" t="s">
        <v>293</v>
      </c>
      <c r="D7" t="s">
        <v>34</v>
      </c>
      <c r="E7" t="s">
        <v>34</v>
      </c>
      <c r="F7" t="s">
        <v>28</v>
      </c>
      <c r="G7" t="str">
        <f t="shared" si="2"/>
        <v>Water|Water|Fire</v>
      </c>
      <c r="H7" t="str">
        <f t="shared" si="1"/>
        <v>Yes</v>
      </c>
      <c r="J7">
        <v>10</v>
      </c>
      <c r="K7">
        <v>15</v>
      </c>
      <c r="L7" s="8">
        <v>0.05</v>
      </c>
      <c r="M7" s="8">
        <v>2</v>
      </c>
      <c r="N7">
        <v>90</v>
      </c>
      <c r="O7">
        <v>3</v>
      </c>
      <c r="P7" s="8">
        <v>0.05</v>
      </c>
      <c r="Q7" s="8">
        <v>0.1</v>
      </c>
      <c r="R7">
        <v>3</v>
      </c>
      <c r="S7">
        <v>0</v>
      </c>
      <c r="T7">
        <v>0</v>
      </c>
      <c r="U7">
        <v>0</v>
      </c>
      <c r="V7" t="str">
        <f>"res://entities/orbs/blank/"&amp;A7&amp;"_orb.tscn"</f>
        <v>res://entities/orbs/blank/shard_orb.tscn</v>
      </c>
      <c r="W7" t="b">
        <v>0</v>
      </c>
    </row>
    <row r="8" spans="1:23" x14ac:dyDescent="0.25">
      <c r="A8" t="s">
        <v>35</v>
      </c>
      <c r="B8" t="str">
        <f t="shared" si="0"/>
        <v>Runic</v>
      </c>
      <c r="C8" t="s">
        <v>307</v>
      </c>
      <c r="D8" t="s">
        <v>34</v>
      </c>
      <c r="E8" t="s">
        <v>34</v>
      </c>
      <c r="F8" t="s">
        <v>34</v>
      </c>
      <c r="G8" t="str">
        <f t="shared" si="2"/>
        <v>Water|Water|Water</v>
      </c>
      <c r="H8" t="str">
        <f t="shared" si="1"/>
        <v>Yes</v>
      </c>
      <c r="J8">
        <v>10</v>
      </c>
      <c r="K8">
        <v>15</v>
      </c>
      <c r="L8" s="8">
        <v>0.05</v>
      </c>
      <c r="M8" s="8">
        <v>2</v>
      </c>
      <c r="N8">
        <v>60</v>
      </c>
      <c r="O8">
        <v>3</v>
      </c>
      <c r="P8" s="8">
        <v>0.05</v>
      </c>
      <c r="Q8" s="8">
        <v>0.15</v>
      </c>
      <c r="R8">
        <v>3</v>
      </c>
      <c r="S8">
        <v>0</v>
      </c>
      <c r="T8">
        <v>0</v>
      </c>
      <c r="U8">
        <v>0</v>
      </c>
      <c r="V8" t="str">
        <f t="shared" si="3"/>
        <v>res://entities/orbs/blank/runic_orb.tscn</v>
      </c>
      <c r="W8" t="b">
        <v>1</v>
      </c>
    </row>
    <row r="9" spans="1:23" x14ac:dyDescent="0.25">
      <c r="A9" t="s">
        <v>36</v>
      </c>
      <c r="B9" t="str">
        <f t="shared" si="0"/>
        <v>Guardian</v>
      </c>
      <c r="C9" t="s">
        <v>37</v>
      </c>
      <c r="D9" t="s">
        <v>34</v>
      </c>
      <c r="E9" t="s">
        <v>34</v>
      </c>
      <c r="F9" t="s">
        <v>30</v>
      </c>
      <c r="G9" t="str">
        <f t="shared" si="2"/>
        <v>Water|Water|Earth</v>
      </c>
      <c r="H9" t="str">
        <f t="shared" si="1"/>
        <v>Yes</v>
      </c>
      <c r="V9" t="str">
        <f t="shared" si="3"/>
        <v>res://entities/orbs/blank/guardian_orb.tscn</v>
      </c>
      <c r="W9" t="b">
        <v>0</v>
      </c>
    </row>
    <row r="10" spans="1:23" x14ac:dyDescent="0.25">
      <c r="A10" t="s">
        <v>38</v>
      </c>
      <c r="B10" t="str">
        <f t="shared" si="0"/>
        <v>Mend</v>
      </c>
      <c r="C10" t="s">
        <v>39</v>
      </c>
      <c r="D10" t="s">
        <v>30</v>
      </c>
      <c r="E10" t="s">
        <v>30</v>
      </c>
      <c r="F10" t="s">
        <v>34</v>
      </c>
      <c r="G10" t="str">
        <f t="shared" si="2"/>
        <v>Earth|Earth|Water</v>
      </c>
      <c r="H10" t="str">
        <f t="shared" si="1"/>
        <v>Yes</v>
      </c>
      <c r="I10" t="s">
        <v>106</v>
      </c>
      <c r="V10" t="str">
        <f t="shared" si="3"/>
        <v>res://entities/orbs/blank/mend_orb.tscn</v>
      </c>
      <c r="W10" t="b">
        <v>0</v>
      </c>
    </row>
    <row r="11" spans="1:23" x14ac:dyDescent="0.25">
      <c r="A11" t="s">
        <v>40</v>
      </c>
      <c r="B11" t="str">
        <f t="shared" si="0"/>
        <v>Destroyer</v>
      </c>
      <c r="C11" t="s">
        <v>283</v>
      </c>
      <c r="D11" t="s">
        <v>28</v>
      </c>
      <c r="E11" t="s">
        <v>27</v>
      </c>
      <c r="F11" t="s">
        <v>30</v>
      </c>
      <c r="G11" t="str">
        <f t="shared" si="2"/>
        <v>Fire|Air|Earth</v>
      </c>
      <c r="H11" t="str">
        <f t="shared" si="1"/>
        <v>Yes</v>
      </c>
      <c r="I11" t="s">
        <v>41</v>
      </c>
      <c r="J11">
        <v>50</v>
      </c>
      <c r="K11">
        <v>50</v>
      </c>
      <c r="L11" s="8">
        <v>0.1</v>
      </c>
      <c r="M11" s="8">
        <v>2.5</v>
      </c>
      <c r="N11">
        <v>110</v>
      </c>
      <c r="O11">
        <v>15</v>
      </c>
      <c r="P11" s="8">
        <v>0.1</v>
      </c>
      <c r="Q11" s="8">
        <v>0.15</v>
      </c>
      <c r="R11">
        <v>3</v>
      </c>
      <c r="S11">
        <v>3</v>
      </c>
      <c r="T11">
        <v>3</v>
      </c>
      <c r="U11">
        <v>3</v>
      </c>
      <c r="V11" t="str">
        <f>"res://entities/orbs/blank/"&amp;A11&amp;"_orb.tscn"</f>
        <v>res://entities/orbs/blank/destroyer_orb.tscn</v>
      </c>
      <c r="W11" t="b">
        <v>0</v>
      </c>
    </row>
    <row r="12" spans="1:23" x14ac:dyDescent="0.25">
      <c r="A12" t="s">
        <v>258</v>
      </c>
      <c r="B12" t="str">
        <f t="shared" si="0"/>
        <v>Vulcano</v>
      </c>
      <c r="C12" t="s">
        <v>304</v>
      </c>
      <c r="D12" t="s">
        <v>28</v>
      </c>
      <c r="E12" t="s">
        <v>30</v>
      </c>
      <c r="F12" t="s">
        <v>30</v>
      </c>
      <c r="G12" t="str">
        <f t="shared" si="2"/>
        <v>Fire|Earth|Earth</v>
      </c>
      <c r="H12" t="str">
        <f t="shared" si="1"/>
        <v>Yes</v>
      </c>
      <c r="I12" t="s">
        <v>109</v>
      </c>
      <c r="J12">
        <v>5</v>
      </c>
      <c r="K12">
        <v>15</v>
      </c>
      <c r="L12" s="8">
        <v>0.05</v>
      </c>
      <c r="M12" s="8">
        <v>2</v>
      </c>
      <c r="N12">
        <v>150</v>
      </c>
      <c r="O12">
        <v>6</v>
      </c>
      <c r="P12" s="8">
        <v>0</v>
      </c>
      <c r="Q12" s="8">
        <v>0.1</v>
      </c>
      <c r="R12">
        <v>2</v>
      </c>
      <c r="S12">
        <v>0</v>
      </c>
      <c r="T12">
        <v>0</v>
      </c>
      <c r="U12">
        <v>0</v>
      </c>
      <c r="V12" t="str">
        <f>"res://entities/orbs/blank/"&amp;A12&amp;"_orb.tscn"</f>
        <v>res://entities/orbs/blank/vulcano_orb.tscn</v>
      </c>
      <c r="W12" t="b">
        <v>1</v>
      </c>
    </row>
    <row r="13" spans="1:23" x14ac:dyDescent="0.25">
      <c r="A13" t="s">
        <v>259</v>
      </c>
      <c r="B13" t="str">
        <f t="shared" ref="B13:B44" si="4">PROPER(SUBSTITUTE(A13,"_"," "))</f>
        <v>Lure</v>
      </c>
      <c r="C13" t="s">
        <v>260</v>
      </c>
      <c r="D13" t="s">
        <v>34</v>
      </c>
      <c r="E13" t="s">
        <v>27</v>
      </c>
      <c r="F13" t="s">
        <v>30</v>
      </c>
      <c r="G13" t="str">
        <f t="shared" si="2"/>
        <v>Water|Air|Earth</v>
      </c>
      <c r="H13" t="str">
        <f t="shared" si="1"/>
        <v>Yes</v>
      </c>
      <c r="V13" t="str">
        <f>"res://entities/orbs/blank/"&amp;A13&amp;"_orb.tscn"</f>
        <v>res://entities/orbs/blank/lure_orb.tscn</v>
      </c>
    </row>
    <row r="14" spans="1:23" x14ac:dyDescent="0.25">
      <c r="B14" t="str">
        <f t="shared" si="4"/>
        <v/>
      </c>
      <c r="C14" t="s">
        <v>261</v>
      </c>
      <c r="D14" t="s">
        <v>34</v>
      </c>
      <c r="E14" t="s">
        <v>27</v>
      </c>
      <c r="F14" t="s">
        <v>28</v>
      </c>
      <c r="G14" t="str">
        <f t="shared" si="2"/>
        <v>Water|Air|Fire</v>
      </c>
      <c r="H14" t="str">
        <f t="shared" si="1"/>
        <v>Yes</v>
      </c>
    </row>
    <row r="15" spans="1:23" x14ac:dyDescent="0.25">
      <c r="A15" t="s">
        <v>262</v>
      </c>
      <c r="B15" t="str">
        <f t="shared" si="4"/>
        <v>Hunger</v>
      </c>
      <c r="C15" t="s">
        <v>290</v>
      </c>
      <c r="D15" t="s">
        <v>30</v>
      </c>
      <c r="E15" t="s">
        <v>28</v>
      </c>
      <c r="F15" t="s">
        <v>28</v>
      </c>
      <c r="G15" t="str">
        <f t="shared" si="2"/>
        <v>Earth|Fire|Fire</v>
      </c>
      <c r="H15" t="str">
        <f t="shared" si="1"/>
        <v>Yes</v>
      </c>
    </row>
    <row r="16" spans="1:23" x14ac:dyDescent="0.25">
      <c r="A16" t="s">
        <v>263</v>
      </c>
      <c r="B16" t="str">
        <f t="shared" si="4"/>
        <v>Vengance</v>
      </c>
      <c r="C16" t="s">
        <v>264</v>
      </c>
      <c r="D16" t="s">
        <v>27</v>
      </c>
      <c r="E16" t="s">
        <v>27</v>
      </c>
      <c r="F16" t="s">
        <v>34</v>
      </c>
      <c r="G16" t="str">
        <f t="shared" si="2"/>
        <v>Air|Air|Water</v>
      </c>
      <c r="H16" t="str">
        <f t="shared" si="1"/>
        <v>Yes</v>
      </c>
      <c r="I16" t="s">
        <v>135</v>
      </c>
    </row>
    <row r="17" spans="1:8" x14ac:dyDescent="0.25">
      <c r="A17" t="s">
        <v>265</v>
      </c>
      <c r="B17" t="str">
        <f t="shared" si="4"/>
        <v>Hunter</v>
      </c>
      <c r="C17" t="s">
        <v>266</v>
      </c>
      <c r="D17" t="s">
        <v>28</v>
      </c>
      <c r="E17" t="s">
        <v>30</v>
      </c>
      <c r="F17" t="s">
        <v>27</v>
      </c>
      <c r="G17" t="str">
        <f t="shared" si="2"/>
        <v>Fire|Earth|Air</v>
      </c>
      <c r="H17" t="str">
        <f t="shared" si="1"/>
        <v>Yes</v>
      </c>
    </row>
    <row r="18" spans="1:8" x14ac:dyDescent="0.25">
      <c r="A18" t="s">
        <v>291</v>
      </c>
      <c r="B18" t="str">
        <f t="shared" si="4"/>
        <v>Nova</v>
      </c>
      <c r="C18" t="s">
        <v>292</v>
      </c>
      <c r="D18" t="s">
        <v>34</v>
      </c>
      <c r="E18" t="s">
        <v>34</v>
      </c>
      <c r="F18" t="s">
        <v>27</v>
      </c>
      <c r="G18" t="str">
        <f t="shared" si="2"/>
        <v>Water|Water|Air</v>
      </c>
      <c r="H18" t="str">
        <f t="shared" si="1"/>
        <v>Yes</v>
      </c>
    </row>
    <row r="19" spans="1:8" x14ac:dyDescent="0.25">
      <c r="B19" t="str">
        <f t="shared" si="4"/>
        <v/>
      </c>
      <c r="G19" t="str">
        <f t="shared" si="2"/>
        <v/>
      </c>
      <c r="H19" t="str">
        <f t="shared" si="1"/>
        <v/>
      </c>
    </row>
    <row r="20" spans="1:8" x14ac:dyDescent="0.25">
      <c r="B20" t="str">
        <f t="shared" si="4"/>
        <v/>
      </c>
      <c r="G20" t="str">
        <f t="shared" si="2"/>
        <v/>
      </c>
      <c r="H20" t="str">
        <f t="shared" si="1"/>
        <v/>
      </c>
    </row>
    <row r="21" spans="1:8" x14ac:dyDescent="0.25">
      <c r="B21" t="str">
        <f t="shared" si="4"/>
        <v/>
      </c>
      <c r="G21" t="str">
        <f t="shared" si="2"/>
        <v/>
      </c>
      <c r="H21" t="str">
        <f t="shared" si="1"/>
        <v/>
      </c>
    </row>
    <row r="22" spans="1:8" x14ac:dyDescent="0.25">
      <c r="B22" t="str">
        <f t="shared" si="4"/>
        <v/>
      </c>
      <c r="G22" t="str">
        <f t="shared" si="2"/>
        <v/>
      </c>
      <c r="H22" t="str">
        <f t="shared" si="1"/>
        <v/>
      </c>
    </row>
    <row r="23" spans="1:8" x14ac:dyDescent="0.25">
      <c r="B23" t="str">
        <f t="shared" si="4"/>
        <v/>
      </c>
      <c r="G23" t="str">
        <f t="shared" si="2"/>
        <v/>
      </c>
      <c r="H23" t="str">
        <f t="shared" si="1"/>
        <v/>
      </c>
    </row>
    <row r="24" spans="1:8" x14ac:dyDescent="0.25">
      <c r="B24" t="str">
        <f t="shared" si="4"/>
        <v/>
      </c>
      <c r="G24" t="str">
        <f t="shared" si="2"/>
        <v/>
      </c>
      <c r="H24" t="str">
        <f t="shared" si="1"/>
        <v/>
      </c>
    </row>
    <row r="25" spans="1:8" x14ac:dyDescent="0.25">
      <c r="B25" t="str">
        <f t="shared" si="4"/>
        <v/>
      </c>
      <c r="G25" t="str">
        <f t="shared" si="2"/>
        <v/>
      </c>
      <c r="H25" t="str">
        <f t="shared" si="1"/>
        <v/>
      </c>
    </row>
    <row r="26" spans="1:8" x14ac:dyDescent="0.25">
      <c r="B26" t="str">
        <f t="shared" si="4"/>
        <v/>
      </c>
      <c r="G26" t="str">
        <f t="shared" si="2"/>
        <v/>
      </c>
      <c r="H26" t="str">
        <f t="shared" si="1"/>
        <v/>
      </c>
    </row>
    <row r="27" spans="1:8" x14ac:dyDescent="0.25">
      <c r="B27" t="str">
        <f t="shared" si="4"/>
        <v/>
      </c>
      <c r="G27" t="str">
        <f t="shared" si="2"/>
        <v/>
      </c>
      <c r="H27" t="str">
        <f t="shared" si="1"/>
        <v/>
      </c>
    </row>
    <row r="28" spans="1:8" x14ac:dyDescent="0.25">
      <c r="B28" t="str">
        <f t="shared" si="4"/>
        <v/>
      </c>
      <c r="G28" t="str">
        <f t="shared" si="2"/>
        <v/>
      </c>
      <c r="H28" t="str">
        <f t="shared" si="1"/>
        <v/>
      </c>
    </row>
    <row r="29" spans="1:8" x14ac:dyDescent="0.25">
      <c r="B29" t="str">
        <f t="shared" si="4"/>
        <v/>
      </c>
      <c r="G29" t="str">
        <f t="shared" si="2"/>
        <v/>
      </c>
      <c r="H29" t="str">
        <f t="shared" si="1"/>
        <v/>
      </c>
    </row>
    <row r="30" spans="1:8" x14ac:dyDescent="0.25">
      <c r="B30" t="str">
        <f t="shared" si="4"/>
        <v/>
      </c>
      <c r="G30" t="str">
        <f t="shared" si="2"/>
        <v/>
      </c>
      <c r="H30" t="str">
        <f t="shared" si="1"/>
        <v/>
      </c>
    </row>
    <row r="31" spans="1:8" x14ac:dyDescent="0.25">
      <c r="B31" t="str">
        <f t="shared" si="4"/>
        <v/>
      </c>
      <c r="G31" t="str">
        <f t="shared" si="2"/>
        <v/>
      </c>
      <c r="H31" t="str">
        <f t="shared" si="1"/>
        <v/>
      </c>
    </row>
    <row r="32" spans="1:8" x14ac:dyDescent="0.25">
      <c r="B32" t="str">
        <f t="shared" si="4"/>
        <v/>
      </c>
      <c r="G32" t="str">
        <f t="shared" si="2"/>
        <v/>
      </c>
      <c r="H32" t="str">
        <f t="shared" si="1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1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ref="H34:H65" si="5">IF(ISBLANK(F34),"",IF(COUNTIF($G$2:$G$101,G34)=1,"Yes","No"))</f>
        <v/>
      </c>
    </row>
    <row r="35" spans="2:8" x14ac:dyDescent="0.25">
      <c r="B35" t="str">
        <f t="shared" si="4"/>
        <v/>
      </c>
      <c r="G35" t="str">
        <f t="shared" ref="G35:G66" si="6">_xlfn.TEXTJOIN("|",TRUE,_xlfn._xlws.SORT(D35:F35))</f>
        <v/>
      </c>
      <c r="H35" t="str">
        <f t="shared" si="5"/>
        <v/>
      </c>
    </row>
    <row r="36" spans="2:8" x14ac:dyDescent="0.25">
      <c r="B36" t="str">
        <f t="shared" si="4"/>
        <v/>
      </c>
      <c r="G36" t="str">
        <f t="shared" si="6"/>
        <v/>
      </c>
      <c r="H36" t="str">
        <f t="shared" si="5"/>
        <v/>
      </c>
    </row>
    <row r="37" spans="2:8" x14ac:dyDescent="0.25">
      <c r="B37" t="str">
        <f t="shared" si="4"/>
        <v/>
      </c>
      <c r="G37" t="str">
        <f t="shared" si="6"/>
        <v/>
      </c>
      <c r="H37" t="str">
        <f t="shared" si="5"/>
        <v/>
      </c>
    </row>
    <row r="38" spans="2:8" x14ac:dyDescent="0.25">
      <c r="B38" t="str">
        <f t="shared" si="4"/>
        <v/>
      </c>
      <c r="G38" t="str">
        <f t="shared" si="6"/>
        <v/>
      </c>
      <c r="H38" t="str">
        <f t="shared" si="5"/>
        <v/>
      </c>
    </row>
    <row r="39" spans="2:8" x14ac:dyDescent="0.25">
      <c r="B39" t="str">
        <f t="shared" si="4"/>
        <v/>
      </c>
      <c r="G39" t="str">
        <f t="shared" si="6"/>
        <v/>
      </c>
      <c r="H39" t="str">
        <f t="shared" si="5"/>
        <v/>
      </c>
    </row>
    <row r="40" spans="2:8" x14ac:dyDescent="0.25">
      <c r="B40" t="str">
        <f t="shared" si="4"/>
        <v/>
      </c>
      <c r="G40" t="str">
        <f t="shared" si="6"/>
        <v/>
      </c>
      <c r="H40" t="str">
        <f t="shared" si="5"/>
        <v/>
      </c>
    </row>
    <row r="41" spans="2:8" x14ac:dyDescent="0.25">
      <c r="B41" t="str">
        <f t="shared" si="4"/>
        <v/>
      </c>
      <c r="G41" t="str">
        <f t="shared" si="6"/>
        <v/>
      </c>
      <c r="H41" t="str">
        <f t="shared" si="5"/>
        <v/>
      </c>
    </row>
    <row r="42" spans="2:8" x14ac:dyDescent="0.25">
      <c r="B42" t="str">
        <f t="shared" si="4"/>
        <v/>
      </c>
      <c r="G42" t="str">
        <f t="shared" si="6"/>
        <v/>
      </c>
      <c r="H42" t="str">
        <f t="shared" si="5"/>
        <v/>
      </c>
    </row>
    <row r="43" spans="2:8" x14ac:dyDescent="0.25">
      <c r="B43" t="str">
        <f t="shared" si="4"/>
        <v/>
      </c>
      <c r="G43" t="str">
        <f t="shared" si="6"/>
        <v/>
      </c>
      <c r="H43" t="str">
        <f t="shared" si="5"/>
        <v/>
      </c>
    </row>
    <row r="44" spans="2:8" x14ac:dyDescent="0.25">
      <c r="B44" t="str">
        <f t="shared" si="4"/>
        <v/>
      </c>
      <c r="G44" t="str">
        <f t="shared" si="6"/>
        <v/>
      </c>
      <c r="H44" t="str">
        <f t="shared" si="5"/>
        <v/>
      </c>
    </row>
    <row r="45" spans="2:8" x14ac:dyDescent="0.25">
      <c r="G45" t="str">
        <f t="shared" si="6"/>
        <v/>
      </c>
      <c r="H45" t="str">
        <f t="shared" si="5"/>
        <v/>
      </c>
    </row>
    <row r="46" spans="2:8" x14ac:dyDescent="0.25">
      <c r="G46" t="str">
        <f t="shared" si="6"/>
        <v/>
      </c>
      <c r="H46" t="str">
        <f t="shared" si="5"/>
        <v/>
      </c>
    </row>
    <row r="47" spans="2:8" x14ac:dyDescent="0.25">
      <c r="G47" t="str">
        <f t="shared" si="6"/>
        <v/>
      </c>
      <c r="H47" t="str">
        <f t="shared" si="5"/>
        <v/>
      </c>
    </row>
    <row r="48" spans="2:8" x14ac:dyDescent="0.25">
      <c r="G48" t="str">
        <f t="shared" si="6"/>
        <v/>
      </c>
      <c r="H48" t="str">
        <f t="shared" si="5"/>
        <v/>
      </c>
    </row>
    <row r="49" spans="7:8" x14ac:dyDescent="0.25">
      <c r="G49" t="str">
        <f t="shared" si="6"/>
        <v/>
      </c>
      <c r="H49" t="str">
        <f t="shared" si="5"/>
        <v/>
      </c>
    </row>
    <row r="50" spans="7:8" x14ac:dyDescent="0.25">
      <c r="G50" t="str">
        <f t="shared" si="6"/>
        <v/>
      </c>
      <c r="H50" t="str">
        <f t="shared" si="5"/>
        <v/>
      </c>
    </row>
    <row r="51" spans="7:8" x14ac:dyDescent="0.25">
      <c r="G51" t="str">
        <f t="shared" si="6"/>
        <v/>
      </c>
      <c r="H51" t="str">
        <f t="shared" si="5"/>
        <v/>
      </c>
    </row>
    <row r="52" spans="7:8" x14ac:dyDescent="0.25">
      <c r="G52" t="str">
        <f t="shared" si="6"/>
        <v/>
      </c>
      <c r="H52" t="str">
        <f t="shared" si="5"/>
        <v/>
      </c>
    </row>
    <row r="53" spans="7:8" x14ac:dyDescent="0.25">
      <c r="G53" t="str">
        <f t="shared" si="6"/>
        <v/>
      </c>
      <c r="H53" t="str">
        <f t="shared" si="5"/>
        <v/>
      </c>
    </row>
    <row r="54" spans="7:8" x14ac:dyDescent="0.25">
      <c r="G54" t="str">
        <f t="shared" si="6"/>
        <v/>
      </c>
      <c r="H54" t="str">
        <f t="shared" si="5"/>
        <v/>
      </c>
    </row>
    <row r="55" spans="7:8" x14ac:dyDescent="0.25">
      <c r="G55" t="str">
        <f t="shared" si="6"/>
        <v/>
      </c>
      <c r="H55" t="str">
        <f t="shared" si="5"/>
        <v/>
      </c>
    </row>
    <row r="56" spans="7:8" x14ac:dyDescent="0.25">
      <c r="G56" t="str">
        <f t="shared" si="6"/>
        <v/>
      </c>
      <c r="H56" t="str">
        <f t="shared" si="5"/>
        <v/>
      </c>
    </row>
    <row r="57" spans="7:8" x14ac:dyDescent="0.25">
      <c r="G57" t="str">
        <f t="shared" si="6"/>
        <v/>
      </c>
      <c r="H57" t="str">
        <f t="shared" si="5"/>
        <v/>
      </c>
    </row>
    <row r="58" spans="7:8" x14ac:dyDescent="0.25">
      <c r="G58" t="str">
        <f t="shared" si="6"/>
        <v/>
      </c>
      <c r="H58" t="str">
        <f t="shared" si="5"/>
        <v/>
      </c>
    </row>
    <row r="59" spans="7:8" x14ac:dyDescent="0.25">
      <c r="G59" t="str">
        <f t="shared" si="6"/>
        <v/>
      </c>
      <c r="H59" t="str">
        <f t="shared" si="5"/>
        <v/>
      </c>
    </row>
    <row r="60" spans="7:8" x14ac:dyDescent="0.25">
      <c r="G60" t="str">
        <f t="shared" si="6"/>
        <v/>
      </c>
      <c r="H60" t="str">
        <f t="shared" si="5"/>
        <v/>
      </c>
    </row>
    <row r="61" spans="7:8" x14ac:dyDescent="0.25">
      <c r="G61" t="str">
        <f t="shared" si="6"/>
        <v/>
      </c>
      <c r="H61" t="str">
        <f t="shared" si="5"/>
        <v/>
      </c>
    </row>
    <row r="62" spans="7:8" x14ac:dyDescent="0.25">
      <c r="G62" t="str">
        <f t="shared" si="6"/>
        <v/>
      </c>
      <c r="H62" t="str">
        <f t="shared" si="5"/>
        <v/>
      </c>
    </row>
    <row r="63" spans="7:8" x14ac:dyDescent="0.25">
      <c r="G63" t="str">
        <f t="shared" si="6"/>
        <v/>
      </c>
      <c r="H63" t="str">
        <f t="shared" si="5"/>
        <v/>
      </c>
    </row>
    <row r="64" spans="7:8" x14ac:dyDescent="0.25">
      <c r="G64" t="str">
        <f t="shared" si="6"/>
        <v/>
      </c>
      <c r="H64" t="str">
        <f t="shared" si="5"/>
        <v/>
      </c>
    </row>
    <row r="65" spans="7:8" x14ac:dyDescent="0.25">
      <c r="G65" t="str">
        <f t="shared" si="6"/>
        <v/>
      </c>
      <c r="H65" t="str">
        <f t="shared" si="5"/>
        <v/>
      </c>
    </row>
    <row r="66" spans="7:8" x14ac:dyDescent="0.25">
      <c r="G66" t="str">
        <f t="shared" si="6"/>
        <v/>
      </c>
      <c r="H66" t="str">
        <f t="shared" ref="H66:H97" si="7">IF(ISBLANK(F66),"",IF(COUNTIF($G$2:$G$101,G66)=1,"Yes","No"))</f>
        <v/>
      </c>
    </row>
    <row r="67" spans="7:8" x14ac:dyDescent="0.25">
      <c r="G67" t="str">
        <f t="shared" ref="G67:G98" si="8">_xlfn.TEXTJOIN("|",TRUE,_xlfn._xlws.SORT(D67:F67))</f>
        <v/>
      </c>
      <c r="H67" t="str">
        <f t="shared" si="7"/>
        <v/>
      </c>
    </row>
    <row r="68" spans="7:8" x14ac:dyDescent="0.25">
      <c r="G68" t="str">
        <f t="shared" si="8"/>
        <v/>
      </c>
      <c r="H68" t="str">
        <f t="shared" si="7"/>
        <v/>
      </c>
    </row>
    <row r="69" spans="7:8" x14ac:dyDescent="0.25">
      <c r="G69" t="str">
        <f t="shared" si="8"/>
        <v/>
      </c>
      <c r="H69" t="str">
        <f t="shared" si="7"/>
        <v/>
      </c>
    </row>
    <row r="70" spans="7:8" x14ac:dyDescent="0.25">
      <c r="G70" t="str">
        <f t="shared" si="8"/>
        <v/>
      </c>
      <c r="H70" t="str">
        <f t="shared" si="7"/>
        <v/>
      </c>
    </row>
    <row r="71" spans="7:8" x14ac:dyDescent="0.25">
      <c r="G71" t="str">
        <f t="shared" si="8"/>
        <v/>
      </c>
      <c r="H71" t="str">
        <f t="shared" si="7"/>
        <v/>
      </c>
    </row>
    <row r="72" spans="7:8" x14ac:dyDescent="0.25">
      <c r="G72" t="str">
        <f t="shared" si="8"/>
        <v/>
      </c>
      <c r="H72" t="str">
        <f t="shared" si="7"/>
        <v/>
      </c>
    </row>
    <row r="73" spans="7:8" x14ac:dyDescent="0.25">
      <c r="G73" t="str">
        <f t="shared" si="8"/>
        <v/>
      </c>
      <c r="H73" t="str">
        <f t="shared" si="7"/>
        <v/>
      </c>
    </row>
    <row r="74" spans="7:8" x14ac:dyDescent="0.25">
      <c r="G74" t="str">
        <f t="shared" si="8"/>
        <v/>
      </c>
      <c r="H74" t="str">
        <f t="shared" si="7"/>
        <v/>
      </c>
    </row>
    <row r="75" spans="7:8" x14ac:dyDescent="0.25">
      <c r="G75" t="str">
        <f t="shared" si="8"/>
        <v/>
      </c>
      <c r="H75" t="str">
        <f t="shared" si="7"/>
        <v/>
      </c>
    </row>
    <row r="76" spans="7:8" x14ac:dyDescent="0.25">
      <c r="G76" t="str">
        <f t="shared" si="8"/>
        <v/>
      </c>
      <c r="H76" t="str">
        <f t="shared" si="7"/>
        <v/>
      </c>
    </row>
    <row r="77" spans="7:8" x14ac:dyDescent="0.25">
      <c r="G77" t="str">
        <f t="shared" si="8"/>
        <v/>
      </c>
      <c r="H77" t="str">
        <f t="shared" si="7"/>
        <v/>
      </c>
    </row>
    <row r="78" spans="7:8" x14ac:dyDescent="0.25">
      <c r="G78" t="str">
        <f t="shared" si="8"/>
        <v/>
      </c>
      <c r="H78" t="str">
        <f t="shared" si="7"/>
        <v/>
      </c>
    </row>
    <row r="79" spans="7:8" x14ac:dyDescent="0.25">
      <c r="G79" t="str">
        <f t="shared" si="8"/>
        <v/>
      </c>
      <c r="H79" t="str">
        <f t="shared" si="7"/>
        <v/>
      </c>
    </row>
    <row r="80" spans="7:8" x14ac:dyDescent="0.25">
      <c r="G80" t="str">
        <f t="shared" si="8"/>
        <v/>
      </c>
      <c r="H80" t="str">
        <f t="shared" si="7"/>
        <v/>
      </c>
    </row>
    <row r="81" spans="7:8" x14ac:dyDescent="0.25">
      <c r="G81" t="str">
        <f t="shared" si="8"/>
        <v/>
      </c>
      <c r="H81" t="str">
        <f t="shared" si="7"/>
        <v/>
      </c>
    </row>
    <row r="82" spans="7:8" x14ac:dyDescent="0.25">
      <c r="G82" t="str">
        <f t="shared" si="8"/>
        <v/>
      </c>
      <c r="H82" t="str">
        <f t="shared" si="7"/>
        <v/>
      </c>
    </row>
    <row r="83" spans="7:8" x14ac:dyDescent="0.25">
      <c r="G83" t="str">
        <f t="shared" si="8"/>
        <v/>
      </c>
      <c r="H83" t="str">
        <f t="shared" si="7"/>
        <v/>
      </c>
    </row>
    <row r="84" spans="7:8" x14ac:dyDescent="0.25">
      <c r="G84" t="str">
        <f t="shared" si="8"/>
        <v/>
      </c>
      <c r="H84" t="str">
        <f t="shared" si="7"/>
        <v/>
      </c>
    </row>
    <row r="85" spans="7:8" x14ac:dyDescent="0.25">
      <c r="G85" t="str">
        <f t="shared" si="8"/>
        <v/>
      </c>
      <c r="H85" t="str">
        <f t="shared" si="7"/>
        <v/>
      </c>
    </row>
    <row r="86" spans="7:8" x14ac:dyDescent="0.25">
      <c r="G86" t="str">
        <f t="shared" si="8"/>
        <v/>
      </c>
      <c r="H86" t="str">
        <f t="shared" si="7"/>
        <v/>
      </c>
    </row>
    <row r="87" spans="7:8" x14ac:dyDescent="0.25">
      <c r="G87" t="str">
        <f t="shared" si="8"/>
        <v/>
      </c>
      <c r="H87" t="str">
        <f t="shared" si="7"/>
        <v/>
      </c>
    </row>
    <row r="88" spans="7:8" x14ac:dyDescent="0.25">
      <c r="G88" t="str">
        <f t="shared" si="8"/>
        <v/>
      </c>
      <c r="H88" t="str">
        <f t="shared" si="7"/>
        <v/>
      </c>
    </row>
    <row r="89" spans="7:8" x14ac:dyDescent="0.25">
      <c r="G89" t="str">
        <f t="shared" si="8"/>
        <v/>
      </c>
      <c r="H89" t="str">
        <f t="shared" si="7"/>
        <v/>
      </c>
    </row>
    <row r="90" spans="7:8" x14ac:dyDescent="0.25">
      <c r="G90" t="str">
        <f t="shared" si="8"/>
        <v/>
      </c>
      <c r="H90" t="str">
        <f t="shared" si="7"/>
        <v/>
      </c>
    </row>
    <row r="91" spans="7:8" x14ac:dyDescent="0.25">
      <c r="G91" t="str">
        <f t="shared" si="8"/>
        <v/>
      </c>
      <c r="H91" t="str">
        <f t="shared" si="7"/>
        <v/>
      </c>
    </row>
    <row r="92" spans="7:8" x14ac:dyDescent="0.25">
      <c r="G92" t="str">
        <f t="shared" si="8"/>
        <v/>
      </c>
      <c r="H92" t="str">
        <f t="shared" si="7"/>
        <v/>
      </c>
    </row>
    <row r="93" spans="7:8" x14ac:dyDescent="0.25">
      <c r="G93" t="str">
        <f t="shared" si="8"/>
        <v/>
      </c>
      <c r="H93" t="str">
        <f t="shared" si="7"/>
        <v/>
      </c>
    </row>
    <row r="94" spans="7:8" x14ac:dyDescent="0.25">
      <c r="G94" t="str">
        <f t="shared" si="8"/>
        <v/>
      </c>
      <c r="H94" t="str">
        <f t="shared" si="7"/>
        <v/>
      </c>
    </row>
    <row r="95" spans="7:8" x14ac:dyDescent="0.25">
      <c r="G95" t="str">
        <f t="shared" si="8"/>
        <v/>
      </c>
      <c r="H95" t="str">
        <f t="shared" si="7"/>
        <v/>
      </c>
    </row>
    <row r="96" spans="7:8" x14ac:dyDescent="0.25">
      <c r="G96" t="str">
        <f t="shared" si="8"/>
        <v/>
      </c>
      <c r="H96" t="str">
        <f t="shared" si="7"/>
        <v/>
      </c>
    </row>
    <row r="97" spans="7:8" x14ac:dyDescent="0.25">
      <c r="G97" t="str">
        <f t="shared" si="8"/>
        <v/>
      </c>
      <c r="H97" t="str">
        <f t="shared" si="7"/>
        <v/>
      </c>
    </row>
    <row r="98" spans="7:8" x14ac:dyDescent="0.25">
      <c r="G98" t="str">
        <f t="shared" si="8"/>
        <v/>
      </c>
      <c r="H98" t="str">
        <f t="shared" ref="H98" si="9">IF(ISBLANK(F98),"",IF(COUNTIF($G$2:$G$101,G98)=1,"Yes","No"))</f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A9751B-2881-41BA-BA50-B91B360FAA20}">
          <x14:formula1>
            <xm:f>input!$C$2:$F$2</xm:f>
          </x14:formula1>
          <xm:sqref>D2:F20</xm:sqref>
        </x14:dataValidation>
        <x14:dataValidation type="list" allowBlank="1" showInputMessage="1" showErrorMessage="1" xr:uid="{060E7938-7B45-497A-BD35-A33D37962AA7}">
          <x14:formula1>
            <xm:f>motion!$A$2:$A$33</xm:f>
          </x14:formula1>
          <xm:sqref>I2:I43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A1:I13"/>
  <sheetViews>
    <sheetView workbookViewId="0">
      <selection activeCell="E11" sqref="E11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20</v>
      </c>
    </row>
    <row r="2" spans="1:9" x14ac:dyDescent="0.25">
      <c r="A2" t="s">
        <v>48</v>
      </c>
      <c r="B2" t="str">
        <f t="shared" ref="B2:B13" si="0">PROPER(A2)</f>
        <v>Coal</v>
      </c>
      <c r="C2" t="s">
        <v>49</v>
      </c>
      <c r="D2" t="s">
        <v>28</v>
      </c>
      <c r="E2" t="s">
        <v>16</v>
      </c>
      <c r="F2">
        <v>1</v>
      </c>
      <c r="G2">
        <v>2</v>
      </c>
      <c r="H2">
        <v>3</v>
      </c>
      <c r="I2" t="str">
        <f t="shared" ref="I2:I13" si="1">"res://items/glyphs/"&amp;A2&amp;"_glyph.png"</f>
        <v>res://items/glyphs/coal_glyph.png</v>
      </c>
    </row>
    <row r="3" spans="1:9" x14ac:dyDescent="0.25">
      <c r="A3" t="s">
        <v>50</v>
      </c>
      <c r="B3" t="str">
        <f t="shared" si="0"/>
        <v>Fury</v>
      </c>
      <c r="C3" t="s">
        <v>51</v>
      </c>
      <c r="D3" t="s">
        <v>28</v>
      </c>
      <c r="E3" t="s">
        <v>8</v>
      </c>
      <c r="F3">
        <v>5</v>
      </c>
      <c r="G3">
        <v>10</v>
      </c>
      <c r="H3">
        <v>15</v>
      </c>
      <c r="I3" t="str">
        <f t="shared" si="1"/>
        <v>res://items/glyphs/fury_glyph.png</v>
      </c>
    </row>
    <row r="4" spans="1:9" x14ac:dyDescent="0.25">
      <c r="A4" t="s">
        <v>52</v>
      </c>
      <c r="B4" t="str">
        <f t="shared" si="0"/>
        <v>Blast</v>
      </c>
      <c r="C4" t="s">
        <v>53</v>
      </c>
      <c r="D4" t="s">
        <v>28</v>
      </c>
      <c r="E4" t="s">
        <v>14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54</v>
      </c>
      <c r="B5" t="str">
        <f t="shared" si="0"/>
        <v>Rime</v>
      </c>
      <c r="C5" t="s">
        <v>55</v>
      </c>
      <c r="D5" t="s">
        <v>34</v>
      </c>
      <c r="E5" t="s">
        <v>17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56</v>
      </c>
      <c r="B6" t="str">
        <f t="shared" si="0"/>
        <v>Sooth</v>
      </c>
      <c r="C6" t="s">
        <v>57</v>
      </c>
      <c r="D6" t="s">
        <v>34</v>
      </c>
      <c r="E6" t="s">
        <v>9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58</v>
      </c>
      <c r="B7" t="str">
        <f t="shared" si="0"/>
        <v>Bounty</v>
      </c>
      <c r="C7" t="s">
        <v>59</v>
      </c>
      <c r="D7" t="s">
        <v>34</v>
      </c>
      <c r="E7" t="s">
        <v>15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60</v>
      </c>
      <c r="B8" t="str">
        <f t="shared" si="0"/>
        <v>Static</v>
      </c>
      <c r="C8" t="s">
        <v>61</v>
      </c>
      <c r="D8" t="s">
        <v>27</v>
      </c>
      <c r="E8" t="s">
        <v>18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62</v>
      </c>
      <c r="B9" t="str">
        <f t="shared" si="0"/>
        <v>Shear</v>
      </c>
      <c r="C9" t="s">
        <v>63</v>
      </c>
      <c r="D9" t="s">
        <v>27</v>
      </c>
      <c r="E9" t="s">
        <v>10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64</v>
      </c>
      <c r="B10" t="str">
        <f t="shared" si="0"/>
        <v>Drag</v>
      </c>
      <c r="C10" t="s">
        <v>65</v>
      </c>
      <c r="D10" t="s">
        <v>27</v>
      </c>
      <c r="E10" t="s">
        <v>12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296</v>
      </c>
      <c r="B11" t="str">
        <f t="shared" si="0"/>
        <v>Spore</v>
      </c>
      <c r="C11" t="s">
        <v>295</v>
      </c>
      <c r="D11" t="s">
        <v>30</v>
      </c>
      <c r="E11" t="s">
        <v>66</v>
      </c>
      <c r="F11">
        <v>1</v>
      </c>
      <c r="G11">
        <v>2</v>
      </c>
      <c r="H11">
        <v>3</v>
      </c>
      <c r="I11" t="str">
        <f t="shared" si="1"/>
        <v>res://items/glyphs/spore_glyph.png</v>
      </c>
    </row>
    <row r="12" spans="1:9" x14ac:dyDescent="0.25">
      <c r="A12" t="s">
        <v>67</v>
      </c>
      <c r="B12" t="str">
        <f t="shared" si="0"/>
        <v>Dense</v>
      </c>
      <c r="C12" t="s">
        <v>68</v>
      </c>
      <c r="D12" t="s">
        <v>30</v>
      </c>
      <c r="E12" t="s">
        <v>13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69</v>
      </c>
      <c r="B13" t="str">
        <f t="shared" si="0"/>
        <v>Crush</v>
      </c>
      <c r="C13" t="s">
        <v>70</v>
      </c>
      <c r="D13" t="s">
        <v>30</v>
      </c>
      <c r="E13" t="s">
        <v>11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78474-C635-4D82-BABA-35BE76111A87}">
  <sheetPr>
    <tabColor theme="6" tint="0.59999389629810485"/>
  </sheetPr>
  <dimension ref="A1:C13"/>
  <sheetViews>
    <sheetView workbookViewId="0">
      <selection activeCell="C14" sqref="C14"/>
    </sheetView>
  </sheetViews>
  <sheetFormatPr defaultRowHeight="15" x14ac:dyDescent="0.25"/>
  <cols>
    <col min="1" max="1" width="13.28515625" customWidth="1"/>
    <col min="2" max="2" width="19.7109375" customWidth="1"/>
    <col min="3" max="3" width="110.140625" bestFit="1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8</v>
      </c>
      <c r="B2" t="str">
        <f t="shared" ref="B2:B13" si="0">PROPER(SUBSTITUTE(A2,"_"," "))</f>
        <v>Damage</v>
      </c>
      <c r="C2" t="s">
        <v>281</v>
      </c>
    </row>
    <row r="3" spans="1:3" x14ac:dyDescent="0.25">
      <c r="A3" t="s">
        <v>14</v>
      </c>
      <c r="B3" t="str">
        <f t="shared" si="0"/>
        <v>Splash</v>
      </c>
      <c r="C3" t="s">
        <v>273</v>
      </c>
    </row>
    <row r="4" spans="1:3" x14ac:dyDescent="0.25">
      <c r="A4" t="s">
        <v>16</v>
      </c>
      <c r="B4" t="str">
        <f t="shared" si="0"/>
        <v>Burn</v>
      </c>
      <c r="C4" t="s">
        <v>280</v>
      </c>
    </row>
    <row r="5" spans="1:3" x14ac:dyDescent="0.25">
      <c r="A5" t="s">
        <v>9</v>
      </c>
      <c r="B5" t="str">
        <f t="shared" si="0"/>
        <v>Self Damage</v>
      </c>
      <c r="C5" t="s">
        <v>282</v>
      </c>
    </row>
    <row r="6" spans="1:3" x14ac:dyDescent="0.25">
      <c r="A6" t="s">
        <v>15</v>
      </c>
      <c r="B6" t="str">
        <f t="shared" si="0"/>
        <v>Glyph Drop</v>
      </c>
      <c r="C6" t="s">
        <v>276</v>
      </c>
    </row>
    <row r="7" spans="1:3" x14ac:dyDescent="0.25">
      <c r="A7" t="s">
        <v>17</v>
      </c>
      <c r="B7" t="str">
        <f t="shared" si="0"/>
        <v>Chill</v>
      </c>
      <c r="C7" t="s">
        <v>278</v>
      </c>
    </row>
    <row r="8" spans="1:3" x14ac:dyDescent="0.25">
      <c r="A8" t="s">
        <v>10</v>
      </c>
      <c r="B8" t="str">
        <f t="shared" si="0"/>
        <v>Crit Chance</v>
      </c>
      <c r="C8" t="s">
        <v>274</v>
      </c>
    </row>
    <row r="9" spans="1:3" x14ac:dyDescent="0.25">
      <c r="A9" t="s">
        <v>12</v>
      </c>
      <c r="B9" t="str">
        <f t="shared" si="0"/>
        <v>Speed</v>
      </c>
      <c r="C9" t="s">
        <v>272</v>
      </c>
    </row>
    <row r="10" spans="1:3" x14ac:dyDescent="0.25">
      <c r="A10" t="s">
        <v>18</v>
      </c>
      <c r="B10" t="str">
        <f t="shared" si="0"/>
        <v>Shock</v>
      </c>
      <c r="C10" t="s">
        <v>279</v>
      </c>
    </row>
    <row r="11" spans="1:3" x14ac:dyDescent="0.25">
      <c r="A11" t="s">
        <v>13</v>
      </c>
      <c r="B11" t="str">
        <f t="shared" si="0"/>
        <v>Weight</v>
      </c>
      <c r="C11" t="s">
        <v>277</v>
      </c>
    </row>
    <row r="12" spans="1:3" x14ac:dyDescent="0.25">
      <c r="A12" t="s">
        <v>11</v>
      </c>
      <c r="B12" t="str">
        <f t="shared" si="0"/>
        <v>Crit Damage</v>
      </c>
      <c r="C12" t="s">
        <v>275</v>
      </c>
    </row>
    <row r="13" spans="1:3" x14ac:dyDescent="0.25">
      <c r="A13" t="s">
        <v>66</v>
      </c>
      <c r="B13" t="str">
        <f t="shared" si="0"/>
        <v>Blight</v>
      </c>
      <c r="C13" t="s">
        <v>294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I107"/>
  <sheetViews>
    <sheetView workbookViewId="0">
      <selection activeCell="D19" sqref="D19"/>
    </sheetView>
  </sheetViews>
  <sheetFormatPr defaultRowHeight="15" x14ac:dyDescent="0.25"/>
  <cols>
    <col min="1" max="1" width="12.7109375" customWidth="1"/>
    <col min="2" max="2" width="13.7109375" customWidth="1"/>
    <col min="3" max="3" width="9.7109375" bestFit="1" customWidth="1"/>
    <col min="4" max="4" width="110.42578125" customWidth="1"/>
    <col min="5" max="7" width="10.5703125" bestFit="1" customWidth="1"/>
    <col min="8" max="8" width="13" hidden="1" customWidth="1"/>
  </cols>
  <sheetData>
    <row r="1" spans="1:9" x14ac:dyDescent="0.25">
      <c r="A1" s="4" t="s">
        <v>0</v>
      </c>
      <c r="B1" s="4" t="s">
        <v>1</v>
      </c>
      <c r="C1" s="4" t="s">
        <v>71</v>
      </c>
      <c r="D1" s="4" t="s">
        <v>42</v>
      </c>
      <c r="E1" s="4" t="s">
        <v>3</v>
      </c>
      <c r="F1" s="4" t="s">
        <v>4</v>
      </c>
      <c r="G1" s="4" t="s">
        <v>5</v>
      </c>
      <c r="I1" s="4" t="s">
        <v>21</v>
      </c>
    </row>
    <row r="2" spans="1:9" x14ac:dyDescent="0.25">
      <c r="A2" t="s">
        <v>72</v>
      </c>
      <c r="B2" t="str">
        <f t="shared" ref="B2:B26" si="0">PROPER(SUBSTITUTE(A2,"_"," "))</f>
        <v>Haunt</v>
      </c>
      <c r="C2" t="s">
        <v>31</v>
      </c>
      <c r="D2" t="s">
        <v>73</v>
      </c>
      <c r="E2" t="s">
        <v>27</v>
      </c>
      <c r="F2" t="s">
        <v>27</v>
      </c>
      <c r="G2" t="s">
        <v>34</v>
      </c>
      <c r="H2" t="str">
        <f t="shared" ref="H2:H34" si="1">_xlfn.TEXTJOIN("|",TRUE,_xlfn._xlws.SORT(E2:G2))</f>
        <v>Air|Air|Water</v>
      </c>
      <c r="I2" t="b">
        <v>0</v>
      </c>
    </row>
    <row r="3" spans="1:9" x14ac:dyDescent="0.25">
      <c r="A3" t="s">
        <v>74</v>
      </c>
      <c r="B3" t="str">
        <f t="shared" si="0"/>
        <v>Possesion</v>
      </c>
      <c r="C3" t="s">
        <v>31</v>
      </c>
      <c r="D3" t="s">
        <v>75</v>
      </c>
      <c r="E3" t="s">
        <v>28</v>
      </c>
      <c r="F3" t="s">
        <v>28</v>
      </c>
      <c r="G3" t="s">
        <v>27</v>
      </c>
      <c r="H3" t="str">
        <f t="shared" si="1"/>
        <v>Fire|Fire|Air</v>
      </c>
      <c r="I3" t="b">
        <v>0</v>
      </c>
    </row>
    <row r="4" spans="1:9" x14ac:dyDescent="0.25">
      <c r="A4" t="s">
        <v>76</v>
      </c>
      <c r="B4" t="str">
        <f t="shared" si="0"/>
        <v>Trail</v>
      </c>
      <c r="C4" t="s">
        <v>32</v>
      </c>
      <c r="D4" t="s">
        <v>77</v>
      </c>
      <c r="E4" t="s">
        <v>28</v>
      </c>
      <c r="F4" t="s">
        <v>28</v>
      </c>
      <c r="G4" t="s">
        <v>30</v>
      </c>
      <c r="H4" t="str">
        <f t="shared" si="1"/>
        <v>Fire|Fire|Earth</v>
      </c>
      <c r="I4" t="b">
        <v>0</v>
      </c>
    </row>
    <row r="5" spans="1:9" x14ac:dyDescent="0.25">
      <c r="A5" t="s">
        <v>78</v>
      </c>
      <c r="B5" t="str">
        <f t="shared" si="0"/>
        <v>Kindling</v>
      </c>
      <c r="C5" t="s">
        <v>32</v>
      </c>
      <c r="D5" t="s">
        <v>79</v>
      </c>
      <c r="E5" t="s">
        <v>27</v>
      </c>
      <c r="F5" t="s">
        <v>27</v>
      </c>
      <c r="G5" t="s">
        <v>28</v>
      </c>
      <c r="H5" t="str">
        <f t="shared" si="1"/>
        <v>Air|Air|Fire</v>
      </c>
      <c r="I5" t="b">
        <v>0</v>
      </c>
    </row>
    <row r="6" spans="1:9" x14ac:dyDescent="0.25">
      <c r="A6" t="s">
        <v>80</v>
      </c>
      <c r="B6" t="str">
        <f t="shared" si="0"/>
        <v>Spark</v>
      </c>
      <c r="C6" t="s">
        <v>32</v>
      </c>
      <c r="D6" t="s">
        <v>81</v>
      </c>
      <c r="E6" t="s">
        <v>28</v>
      </c>
      <c r="F6" t="s">
        <v>28</v>
      </c>
      <c r="G6" t="s">
        <v>28</v>
      </c>
      <c r="H6" t="str">
        <f t="shared" si="1"/>
        <v>Fire|Fire|Fire</v>
      </c>
      <c r="I6" t="b">
        <v>0</v>
      </c>
    </row>
    <row r="7" spans="1:9" x14ac:dyDescent="0.25">
      <c r="A7" t="s">
        <v>82</v>
      </c>
      <c r="B7" t="str">
        <f t="shared" si="0"/>
        <v>Chain</v>
      </c>
      <c r="C7" t="s">
        <v>25</v>
      </c>
      <c r="D7" t="s">
        <v>83</v>
      </c>
      <c r="E7" t="s">
        <v>34</v>
      </c>
      <c r="F7" t="s">
        <v>27</v>
      </c>
      <c r="G7" t="s">
        <v>28</v>
      </c>
      <c r="H7" t="str">
        <f t="shared" si="1"/>
        <v>Water|Air|Fire</v>
      </c>
      <c r="I7" t="b">
        <v>0</v>
      </c>
    </row>
    <row r="8" spans="1:9" x14ac:dyDescent="0.25">
      <c r="A8" t="s">
        <v>84</v>
      </c>
      <c r="B8" t="str">
        <f t="shared" si="0"/>
        <v>Conductor</v>
      </c>
      <c r="C8" t="s">
        <v>25</v>
      </c>
      <c r="D8" t="s">
        <v>85</v>
      </c>
      <c r="E8" t="s">
        <v>27</v>
      </c>
      <c r="F8" t="s">
        <v>34</v>
      </c>
      <c r="G8" t="s">
        <v>34</v>
      </c>
      <c r="H8" t="str">
        <f t="shared" si="1"/>
        <v>Air|Water|Water</v>
      </c>
      <c r="I8" t="b">
        <v>0</v>
      </c>
    </row>
    <row r="9" spans="1:9" x14ac:dyDescent="0.25">
      <c r="A9" t="s">
        <v>86</v>
      </c>
      <c r="B9" t="str">
        <f t="shared" si="0"/>
        <v>Reach</v>
      </c>
      <c r="C9" t="s">
        <v>25</v>
      </c>
      <c r="D9" t="s">
        <v>87</v>
      </c>
      <c r="E9" t="s">
        <v>27</v>
      </c>
      <c r="F9" t="s">
        <v>30</v>
      </c>
      <c r="G9" t="s">
        <v>30</v>
      </c>
      <c r="H9" t="str">
        <f t="shared" si="1"/>
        <v>Air|Earth|Earth</v>
      </c>
      <c r="I9" t="b">
        <v>0</v>
      </c>
    </row>
    <row r="10" spans="1:9" x14ac:dyDescent="0.25">
      <c r="A10" t="s">
        <v>88</v>
      </c>
      <c r="B10" t="str">
        <f t="shared" si="0"/>
        <v>Splinter</v>
      </c>
      <c r="C10" t="s">
        <v>33</v>
      </c>
      <c r="D10" t="s">
        <v>89</v>
      </c>
      <c r="H10" t="str">
        <f t="shared" si="1"/>
        <v/>
      </c>
      <c r="I10" t="b">
        <v>0</v>
      </c>
    </row>
    <row r="11" spans="1:9" x14ac:dyDescent="0.25">
      <c r="A11" t="s">
        <v>90</v>
      </c>
      <c r="B11" t="str">
        <f t="shared" si="0"/>
        <v>Lethal</v>
      </c>
      <c r="C11" t="s">
        <v>33</v>
      </c>
      <c r="D11" t="s">
        <v>91</v>
      </c>
      <c r="H11" t="str">
        <f t="shared" si="1"/>
        <v/>
      </c>
      <c r="I11" t="b">
        <v>0</v>
      </c>
    </row>
    <row r="12" spans="1:9" x14ac:dyDescent="0.25">
      <c r="A12" t="s">
        <v>92</v>
      </c>
      <c r="B12" t="str">
        <f t="shared" si="0"/>
        <v>Shatter</v>
      </c>
      <c r="C12" t="s">
        <v>33</v>
      </c>
      <c r="D12" t="s">
        <v>303</v>
      </c>
      <c r="H12" t="str">
        <f t="shared" si="1"/>
        <v/>
      </c>
      <c r="I12" t="b">
        <v>0</v>
      </c>
    </row>
    <row r="13" spans="1:9" x14ac:dyDescent="0.25">
      <c r="A13" t="s">
        <v>93</v>
      </c>
      <c r="B13" t="str">
        <f t="shared" si="0"/>
        <v>Carrion</v>
      </c>
      <c r="C13" t="s">
        <v>29</v>
      </c>
      <c r="D13" t="s">
        <v>302</v>
      </c>
      <c r="H13" t="str">
        <f t="shared" si="1"/>
        <v/>
      </c>
      <c r="I13" t="b">
        <v>0</v>
      </c>
    </row>
    <row r="14" spans="1:9" x14ac:dyDescent="0.25">
      <c r="A14" t="s">
        <v>94</v>
      </c>
      <c r="B14" t="str">
        <f t="shared" si="0"/>
        <v>Outbreak</v>
      </c>
      <c r="C14" t="s">
        <v>29</v>
      </c>
      <c r="D14" t="s">
        <v>301</v>
      </c>
      <c r="H14" t="str">
        <f t="shared" si="1"/>
        <v/>
      </c>
      <c r="I14" t="b">
        <v>0</v>
      </c>
    </row>
    <row r="15" spans="1:9" x14ac:dyDescent="0.25">
      <c r="A15" t="s">
        <v>95</v>
      </c>
      <c r="B15" t="str">
        <f t="shared" si="0"/>
        <v>Virulence</v>
      </c>
      <c r="C15" t="s">
        <v>29</v>
      </c>
      <c r="D15" t="s">
        <v>300</v>
      </c>
      <c r="H15" t="str">
        <f t="shared" si="1"/>
        <v/>
      </c>
      <c r="I15" t="b">
        <v>0</v>
      </c>
    </row>
    <row r="16" spans="1:9" x14ac:dyDescent="0.25">
      <c r="A16" t="s">
        <v>284</v>
      </c>
      <c r="B16" t="str">
        <f t="shared" si="0"/>
        <v>Enchant</v>
      </c>
      <c r="C16" t="s">
        <v>35</v>
      </c>
      <c r="D16" t="s">
        <v>96</v>
      </c>
      <c r="E16" t="s">
        <v>34</v>
      </c>
      <c r="F16" t="s">
        <v>34</v>
      </c>
      <c r="G16" t="s">
        <v>27</v>
      </c>
      <c r="H16" t="str">
        <f t="shared" si="1"/>
        <v>Water|Water|Air</v>
      </c>
      <c r="I16" t="b">
        <v>0</v>
      </c>
    </row>
    <row r="17" spans="1:9" x14ac:dyDescent="0.25">
      <c r="A17" t="s">
        <v>97</v>
      </c>
      <c r="B17" t="str">
        <f t="shared" si="0"/>
        <v>Hoarder</v>
      </c>
      <c r="C17" t="s">
        <v>35</v>
      </c>
      <c r="D17" t="s">
        <v>286</v>
      </c>
      <c r="E17" t="s">
        <v>28</v>
      </c>
      <c r="F17" t="s">
        <v>28</v>
      </c>
      <c r="G17" t="s">
        <v>28</v>
      </c>
      <c r="H17" t="str">
        <f t="shared" si="1"/>
        <v>Fire|Fire|Fire</v>
      </c>
      <c r="I17" t="b">
        <v>0</v>
      </c>
    </row>
    <row r="18" spans="1:9" x14ac:dyDescent="0.25">
      <c r="A18" t="s">
        <v>285</v>
      </c>
      <c r="B18" t="str">
        <f t="shared" si="0"/>
        <v>Secure</v>
      </c>
      <c r="C18" t="s">
        <v>35</v>
      </c>
      <c r="D18" t="s">
        <v>306</v>
      </c>
      <c r="E18" t="s">
        <v>34</v>
      </c>
      <c r="F18" t="s">
        <v>30</v>
      </c>
      <c r="G18" t="s">
        <v>30</v>
      </c>
      <c r="I18" t="b">
        <v>0</v>
      </c>
    </row>
    <row r="19" spans="1:9" x14ac:dyDescent="0.25">
      <c r="A19" t="s">
        <v>98</v>
      </c>
      <c r="B19" t="str">
        <f t="shared" si="0"/>
        <v>Affinity</v>
      </c>
      <c r="C19" t="s">
        <v>35</v>
      </c>
      <c r="D19" t="s">
        <v>305</v>
      </c>
      <c r="E19" t="s">
        <v>30</v>
      </c>
      <c r="F19" t="s">
        <v>30</v>
      </c>
      <c r="G19" t="s">
        <v>28</v>
      </c>
      <c r="H19" t="str">
        <f t="shared" si="1"/>
        <v>Earth|Earth|Fire</v>
      </c>
      <c r="I19" t="b">
        <v>0</v>
      </c>
    </row>
    <row r="20" spans="1:9" x14ac:dyDescent="0.25">
      <c r="A20" t="s">
        <v>99</v>
      </c>
      <c r="B20" t="str">
        <f t="shared" si="0"/>
        <v>Retribution</v>
      </c>
      <c r="C20" t="s">
        <v>36</v>
      </c>
      <c r="D20" t="s">
        <v>100</v>
      </c>
      <c r="E20" t="s">
        <v>28</v>
      </c>
      <c r="F20" t="s">
        <v>28</v>
      </c>
      <c r="G20" t="s">
        <v>30</v>
      </c>
      <c r="H20" t="str">
        <f t="shared" si="1"/>
        <v>Fire|Fire|Earth</v>
      </c>
      <c r="I20" t="b">
        <v>0</v>
      </c>
    </row>
    <row r="21" spans="1:9" x14ac:dyDescent="0.25">
      <c r="A21" t="s">
        <v>101</v>
      </c>
      <c r="B21" t="str">
        <f t="shared" si="0"/>
        <v>Flexible</v>
      </c>
      <c r="C21" t="s">
        <v>36</v>
      </c>
      <c r="D21" t="s">
        <v>102</v>
      </c>
      <c r="E21" t="s">
        <v>27</v>
      </c>
      <c r="F21" t="s">
        <v>27</v>
      </c>
      <c r="G21" t="s">
        <v>34</v>
      </c>
      <c r="H21" t="str">
        <f t="shared" si="1"/>
        <v>Air|Air|Water</v>
      </c>
      <c r="I21" t="b">
        <v>0</v>
      </c>
    </row>
    <row r="22" spans="1:9" x14ac:dyDescent="0.25">
      <c r="A22" t="s">
        <v>103</v>
      </c>
      <c r="B22" t="str">
        <f t="shared" si="0"/>
        <v>Shield</v>
      </c>
      <c r="C22" t="s">
        <v>36</v>
      </c>
      <c r="D22" t="s">
        <v>104</v>
      </c>
      <c r="H22" t="str">
        <f t="shared" si="1"/>
        <v/>
      </c>
      <c r="I22" t="b">
        <v>0</v>
      </c>
    </row>
    <row r="23" spans="1:9" x14ac:dyDescent="0.25">
      <c r="A23" t="s">
        <v>271</v>
      </c>
      <c r="B23" t="str">
        <f t="shared" si="0"/>
        <v>Experience</v>
      </c>
      <c r="C23" t="s">
        <v>265</v>
      </c>
      <c r="D23" t="s">
        <v>267</v>
      </c>
      <c r="H23" t="str">
        <f t="shared" si="1"/>
        <v/>
      </c>
      <c r="I23" t="b">
        <v>0</v>
      </c>
    </row>
    <row r="24" spans="1:9" x14ac:dyDescent="0.25">
      <c r="A24" t="s">
        <v>269</v>
      </c>
      <c r="B24" t="str">
        <f t="shared" si="0"/>
        <v>Stalk</v>
      </c>
      <c r="C24" t="s">
        <v>265</v>
      </c>
      <c r="D24" t="s">
        <v>268</v>
      </c>
      <c r="H24" t="str">
        <f t="shared" si="1"/>
        <v/>
      </c>
      <c r="I24" t="b">
        <v>0</v>
      </c>
    </row>
    <row r="25" spans="1:9" x14ac:dyDescent="0.25">
      <c r="A25" t="s">
        <v>270</v>
      </c>
      <c r="B25" t="str">
        <f t="shared" si="0"/>
        <v>Fright</v>
      </c>
      <c r="C25" t="s">
        <v>265</v>
      </c>
      <c r="D25" t="s">
        <v>299</v>
      </c>
      <c r="H25" t="str">
        <f t="shared" si="1"/>
        <v/>
      </c>
      <c r="I25" t="b">
        <v>0</v>
      </c>
    </row>
    <row r="26" spans="1:9" x14ac:dyDescent="0.25">
      <c r="A26" t="s">
        <v>288</v>
      </c>
      <c r="B26" t="str">
        <f t="shared" si="0"/>
        <v>Gravity</v>
      </c>
      <c r="C26" t="s">
        <v>262</v>
      </c>
      <c r="D26" t="s">
        <v>289</v>
      </c>
      <c r="H26" t="str">
        <f t="shared" si="1"/>
        <v/>
      </c>
    </row>
    <row r="27" spans="1:9" x14ac:dyDescent="0.25">
      <c r="H27" t="str">
        <f t="shared" si="1"/>
        <v/>
      </c>
    </row>
    <row r="28" spans="1:9" x14ac:dyDescent="0.25">
      <c r="H28" t="str">
        <f t="shared" si="1"/>
        <v/>
      </c>
    </row>
    <row r="29" spans="1:9" x14ac:dyDescent="0.25">
      <c r="H29" t="str">
        <f t="shared" si="1"/>
        <v/>
      </c>
    </row>
    <row r="30" spans="1:9" x14ac:dyDescent="0.25">
      <c r="H30" t="str">
        <f t="shared" si="1"/>
        <v/>
      </c>
    </row>
    <row r="31" spans="1:9" x14ac:dyDescent="0.25">
      <c r="H31" t="str">
        <f t="shared" si="1"/>
        <v/>
      </c>
    </row>
    <row r="32" spans="1:9" x14ac:dyDescent="0.25"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ref="H35:H66" si="2">_xlfn.TEXTJOIN("|",TRUE,_xlfn._xlws.SORT(E35:G35))</f>
        <v/>
      </c>
    </row>
    <row r="36" spans="8:8" x14ac:dyDescent="0.25">
      <c r="H36" t="str">
        <f t="shared" si="2"/>
        <v/>
      </c>
    </row>
    <row r="37" spans="8:8" x14ac:dyDescent="0.25">
      <c r="H37" t="str">
        <f t="shared" si="2"/>
        <v/>
      </c>
    </row>
    <row r="38" spans="8:8" x14ac:dyDescent="0.25">
      <c r="H38" t="str">
        <f t="shared" si="2"/>
        <v/>
      </c>
    </row>
    <row r="39" spans="8:8" x14ac:dyDescent="0.25">
      <c r="H39" t="str">
        <f t="shared" si="2"/>
        <v/>
      </c>
    </row>
    <row r="40" spans="8:8" x14ac:dyDescent="0.25">
      <c r="H40" t="str">
        <f t="shared" si="2"/>
        <v/>
      </c>
    </row>
    <row r="41" spans="8:8" x14ac:dyDescent="0.25">
      <c r="H41" t="str">
        <f t="shared" si="2"/>
        <v/>
      </c>
    </row>
    <row r="42" spans="8:8" x14ac:dyDescent="0.25">
      <c r="H42" t="str">
        <f t="shared" si="2"/>
        <v/>
      </c>
    </row>
    <row r="43" spans="8:8" x14ac:dyDescent="0.25">
      <c r="H43" t="str">
        <f t="shared" si="2"/>
        <v/>
      </c>
    </row>
    <row r="44" spans="8:8" x14ac:dyDescent="0.25">
      <c r="H44" t="str">
        <f t="shared" si="2"/>
        <v/>
      </c>
    </row>
    <row r="45" spans="8:8" x14ac:dyDescent="0.25">
      <c r="H45" t="str">
        <f t="shared" si="2"/>
        <v/>
      </c>
    </row>
    <row r="46" spans="8:8" x14ac:dyDescent="0.25">
      <c r="H46" t="str">
        <f t="shared" si="2"/>
        <v/>
      </c>
    </row>
    <row r="47" spans="8:8" x14ac:dyDescent="0.25">
      <c r="H47" t="str">
        <f t="shared" si="2"/>
        <v/>
      </c>
    </row>
    <row r="48" spans="8:8" x14ac:dyDescent="0.25">
      <c r="H48" t="str">
        <f t="shared" si="2"/>
        <v/>
      </c>
    </row>
    <row r="49" spans="8:8" x14ac:dyDescent="0.25">
      <c r="H49" t="str">
        <f t="shared" si="2"/>
        <v/>
      </c>
    </row>
    <row r="50" spans="8:8" x14ac:dyDescent="0.25">
      <c r="H50" t="str">
        <f t="shared" si="2"/>
        <v/>
      </c>
    </row>
    <row r="51" spans="8:8" x14ac:dyDescent="0.25">
      <c r="H51" t="str">
        <f t="shared" si="2"/>
        <v/>
      </c>
    </row>
    <row r="52" spans="8:8" x14ac:dyDescent="0.25">
      <c r="H52" t="str">
        <f t="shared" si="2"/>
        <v/>
      </c>
    </row>
    <row r="53" spans="8:8" x14ac:dyDescent="0.25">
      <c r="H53" t="str">
        <f t="shared" si="2"/>
        <v/>
      </c>
    </row>
    <row r="54" spans="8:8" x14ac:dyDescent="0.25">
      <c r="H54" t="str">
        <f t="shared" si="2"/>
        <v/>
      </c>
    </row>
    <row r="55" spans="8:8" x14ac:dyDescent="0.25">
      <c r="H55" t="str">
        <f t="shared" si="2"/>
        <v/>
      </c>
    </row>
    <row r="56" spans="8:8" x14ac:dyDescent="0.25">
      <c r="H56" t="str">
        <f t="shared" si="2"/>
        <v/>
      </c>
    </row>
    <row r="57" spans="8:8" x14ac:dyDescent="0.25">
      <c r="H57" t="str">
        <f t="shared" si="2"/>
        <v/>
      </c>
    </row>
    <row r="58" spans="8:8" x14ac:dyDescent="0.25">
      <c r="H58" t="str">
        <f t="shared" si="2"/>
        <v/>
      </c>
    </row>
    <row r="59" spans="8:8" x14ac:dyDescent="0.25">
      <c r="H59" t="str">
        <f t="shared" si="2"/>
        <v/>
      </c>
    </row>
    <row r="60" spans="8:8" x14ac:dyDescent="0.25">
      <c r="H60" t="str">
        <f t="shared" si="2"/>
        <v/>
      </c>
    </row>
    <row r="61" spans="8:8" x14ac:dyDescent="0.25">
      <c r="H61" t="str">
        <f t="shared" si="2"/>
        <v/>
      </c>
    </row>
    <row r="62" spans="8:8" x14ac:dyDescent="0.25">
      <c r="H62" t="str">
        <f t="shared" si="2"/>
        <v/>
      </c>
    </row>
    <row r="63" spans="8:8" x14ac:dyDescent="0.25">
      <c r="H63" t="str">
        <f t="shared" si="2"/>
        <v/>
      </c>
    </row>
    <row r="64" spans="8:8" x14ac:dyDescent="0.25">
      <c r="H64" t="str">
        <f t="shared" si="2"/>
        <v/>
      </c>
    </row>
    <row r="65" spans="8:8" x14ac:dyDescent="0.25">
      <c r="H65" t="str">
        <f t="shared" si="2"/>
        <v/>
      </c>
    </row>
    <row r="66" spans="8:8" x14ac:dyDescent="0.25">
      <c r="H66" t="str">
        <f t="shared" si="2"/>
        <v/>
      </c>
    </row>
    <row r="67" spans="8:8" x14ac:dyDescent="0.25">
      <c r="H67" t="str">
        <f t="shared" ref="H67:H98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ref="H99:H107" si="4">_xlfn.TEXTJOIN("|",TRUE,_xlfn._xlws.SORT(E99:G99))</f>
        <v/>
      </c>
    </row>
    <row r="100" spans="8:8" x14ac:dyDescent="0.25">
      <c r="H100" t="str">
        <f t="shared" si="4"/>
        <v/>
      </c>
    </row>
    <row r="101" spans="8:8" x14ac:dyDescent="0.25">
      <c r="H101" t="str">
        <f t="shared" si="4"/>
        <v/>
      </c>
    </row>
    <row r="102" spans="8:8" x14ac:dyDescent="0.25">
      <c r="H102" t="str">
        <f t="shared" si="4"/>
        <v/>
      </c>
    </row>
    <row r="103" spans="8:8" x14ac:dyDescent="0.25">
      <c r="H103" t="str">
        <f t="shared" si="4"/>
        <v/>
      </c>
    </row>
    <row r="104" spans="8:8" x14ac:dyDescent="0.25">
      <c r="H104" t="str">
        <f t="shared" si="4"/>
        <v/>
      </c>
    </row>
    <row r="105" spans="8:8" x14ac:dyDescent="0.25">
      <c r="H105" t="str">
        <f t="shared" si="4"/>
        <v/>
      </c>
    </row>
    <row r="106" spans="8:8" x14ac:dyDescent="0.25">
      <c r="H106" t="str">
        <f t="shared" si="4"/>
        <v/>
      </c>
    </row>
    <row r="107" spans="8:8" x14ac:dyDescent="0.25">
      <c r="H107" t="str">
        <f t="shared" si="4"/>
        <v/>
      </c>
    </row>
  </sheetData>
  <conditionalFormatting sqref="E1:G90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41" operator="equal">
      <formula>"Earth"</formula>
    </cfRule>
    <cfRule type="cellIs" dxfId="3" priority="42" operator="equal">
      <formula>"Water"</formula>
    </cfRule>
    <cfRule type="cellIs" dxfId="2" priority="43" operator="equal">
      <formula>"Fire"</formula>
    </cfRule>
    <cfRule type="cellIs" dxfId="1" priority="4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25C9F3-AC3A-45E4-BF5F-4CA9BB4B1AFE}">
          <x14:formula1>
            <xm:f>input!$C$2:$F$2</xm:f>
          </x14:formula1>
          <xm:sqref>E2:G52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59999389629810485"/>
  </sheetPr>
  <dimension ref="A1:C18"/>
  <sheetViews>
    <sheetView workbookViewId="0">
      <selection activeCell="C16" sqref="C16"/>
    </sheetView>
  </sheetViews>
  <sheetFormatPr defaultRowHeight="15" x14ac:dyDescent="0.25"/>
  <cols>
    <col min="1" max="1" width="16.140625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24</v>
      </c>
      <c r="B2" t="str">
        <f t="shared" ref="B2:B18" si="0">PROPER(SUBSTITUTE(A2,"_"," "))</f>
        <v>Wayward</v>
      </c>
      <c r="C2" t="s">
        <v>105</v>
      </c>
    </row>
    <row r="3" spans="1:3" x14ac:dyDescent="0.25">
      <c r="A3" t="s">
        <v>106</v>
      </c>
      <c r="B3" t="str">
        <f t="shared" si="0"/>
        <v>Attracted</v>
      </c>
      <c r="C3" t="s">
        <v>107</v>
      </c>
    </row>
    <row r="4" spans="1:3" x14ac:dyDescent="0.25">
      <c r="A4" t="s">
        <v>41</v>
      </c>
      <c r="B4" t="str">
        <f t="shared" si="0"/>
        <v>Spite</v>
      </c>
      <c r="C4" t="s">
        <v>108</v>
      </c>
    </row>
    <row r="5" spans="1:3" x14ac:dyDescent="0.25">
      <c r="A5" t="s">
        <v>109</v>
      </c>
      <c r="B5" t="str">
        <f t="shared" si="0"/>
        <v>Rooted</v>
      </c>
      <c r="C5" t="s">
        <v>110</v>
      </c>
    </row>
    <row r="6" spans="1:3" x14ac:dyDescent="0.25">
      <c r="A6" t="s">
        <v>111</v>
      </c>
      <c r="B6" t="str">
        <f t="shared" si="0"/>
        <v>Patrol</v>
      </c>
      <c r="C6" t="s">
        <v>112</v>
      </c>
    </row>
    <row r="7" spans="1:3" x14ac:dyDescent="0.25">
      <c r="A7" t="s">
        <v>113</v>
      </c>
      <c r="B7" t="str">
        <f t="shared" si="0"/>
        <v>Familiar</v>
      </c>
      <c r="C7" t="s">
        <v>114</v>
      </c>
    </row>
    <row r="8" spans="1:3" x14ac:dyDescent="0.25">
      <c r="A8" t="s">
        <v>115</v>
      </c>
      <c r="B8" t="str">
        <f t="shared" si="0"/>
        <v>Rail</v>
      </c>
      <c r="C8" t="s">
        <v>116</v>
      </c>
    </row>
    <row r="9" spans="1:3" x14ac:dyDescent="0.25">
      <c r="A9" t="s">
        <v>117</v>
      </c>
      <c r="B9" t="str">
        <f t="shared" si="0"/>
        <v>Tide</v>
      </c>
      <c r="C9" t="s">
        <v>118</v>
      </c>
    </row>
    <row r="10" spans="1:3" x14ac:dyDescent="0.25">
      <c r="A10" t="s">
        <v>119</v>
      </c>
      <c r="B10" t="str">
        <f t="shared" si="0"/>
        <v>Blink</v>
      </c>
      <c r="C10" t="s">
        <v>120</v>
      </c>
    </row>
    <row r="11" spans="1:3" x14ac:dyDescent="0.25">
      <c r="A11" t="s">
        <v>121</v>
      </c>
      <c r="B11" t="str">
        <f t="shared" si="0"/>
        <v>Loyal</v>
      </c>
      <c r="C11" t="s">
        <v>122</v>
      </c>
    </row>
    <row r="12" spans="1:3" x14ac:dyDescent="0.25">
      <c r="A12" t="s">
        <v>123</v>
      </c>
      <c r="B12" t="str">
        <f t="shared" si="0"/>
        <v>Hexed</v>
      </c>
      <c r="C12" t="s">
        <v>124</v>
      </c>
    </row>
    <row r="13" spans="1:3" x14ac:dyDescent="0.25">
      <c r="A13" t="s">
        <v>125</v>
      </c>
      <c r="B13" t="str">
        <f t="shared" si="0"/>
        <v>Stalker</v>
      </c>
      <c r="C13" t="s">
        <v>126</v>
      </c>
    </row>
    <row r="14" spans="1:3" x14ac:dyDescent="0.25">
      <c r="A14" t="s">
        <v>127</v>
      </c>
      <c r="B14" t="str">
        <f t="shared" si="0"/>
        <v>Herd</v>
      </c>
      <c r="C14" t="s">
        <v>128</v>
      </c>
    </row>
    <row r="15" spans="1:3" x14ac:dyDescent="0.25">
      <c r="A15" t="s">
        <v>129</v>
      </c>
      <c r="B15" t="str">
        <f t="shared" si="0"/>
        <v>Greedy</v>
      </c>
      <c r="C15" t="s">
        <v>130</v>
      </c>
    </row>
    <row r="16" spans="1:3" x14ac:dyDescent="0.25">
      <c r="A16" t="s">
        <v>131</v>
      </c>
      <c r="B16" t="str">
        <f t="shared" si="0"/>
        <v>Oathbound</v>
      </c>
      <c r="C16" t="s">
        <v>132</v>
      </c>
    </row>
    <row r="17" spans="1:3" x14ac:dyDescent="0.25">
      <c r="A17" t="s">
        <v>133</v>
      </c>
      <c r="B17" t="str">
        <f t="shared" si="0"/>
        <v>Echo</v>
      </c>
      <c r="C17" t="s">
        <v>134</v>
      </c>
    </row>
    <row r="18" spans="1:3" x14ac:dyDescent="0.25">
      <c r="A18" t="s">
        <v>135</v>
      </c>
      <c r="B18" t="str">
        <f t="shared" si="0"/>
        <v>Phasing</v>
      </c>
      <c r="C18" t="s">
        <v>136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42</v>
      </c>
      <c r="D1" s="4" t="s">
        <v>137</v>
      </c>
      <c r="E1" s="4" t="s">
        <v>2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144</v>
      </c>
      <c r="M1" s="4" t="s">
        <v>145</v>
      </c>
      <c r="N1" s="4" t="s">
        <v>146</v>
      </c>
      <c r="O1" s="3" t="s">
        <v>147</v>
      </c>
      <c r="P1" s="3" t="s">
        <v>148</v>
      </c>
      <c r="Q1" s="3" t="s">
        <v>149</v>
      </c>
      <c r="R1" s="3" t="s">
        <v>150</v>
      </c>
      <c r="S1" s="4" t="s">
        <v>151</v>
      </c>
      <c r="T1" s="4" t="s">
        <v>152</v>
      </c>
      <c r="U1" s="3" t="s">
        <v>21</v>
      </c>
    </row>
    <row r="2" spans="1:21" x14ac:dyDescent="0.25">
      <c r="A2" t="s">
        <v>153</v>
      </c>
      <c r="B2" t="str">
        <f t="shared" ref="B2:B33" si="0">PROPER(SUBSTITUTE(A2,"_"," "))</f>
        <v>Reception Desk</v>
      </c>
      <c r="C2" t="s">
        <v>154</v>
      </c>
      <c r="D2" t="s">
        <v>155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156</v>
      </c>
      <c r="O2">
        <v>2</v>
      </c>
      <c r="T2" t="s">
        <v>157</v>
      </c>
      <c r="U2" t="b">
        <v>1</v>
      </c>
    </row>
    <row r="3" spans="1:21" x14ac:dyDescent="0.25">
      <c r="A3" s="7" t="s">
        <v>158</v>
      </c>
      <c r="B3" t="str">
        <f t="shared" si="0"/>
        <v>Straw Pallet</v>
      </c>
      <c r="C3" t="s">
        <v>159</v>
      </c>
      <c r="D3" t="s">
        <v>160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156</v>
      </c>
      <c r="M3" t="s">
        <v>161</v>
      </c>
      <c r="O3">
        <v>2</v>
      </c>
      <c r="R3" t="b">
        <v>0</v>
      </c>
      <c r="U3" t="b">
        <v>0</v>
      </c>
    </row>
    <row r="4" spans="1:21" x14ac:dyDescent="0.25">
      <c r="A4" t="s">
        <v>162</v>
      </c>
      <c r="B4" t="str">
        <f t="shared" si="0"/>
        <v>Wood Frame Bed</v>
      </c>
      <c r="C4" t="s">
        <v>163</v>
      </c>
      <c r="D4" t="s">
        <v>160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156</v>
      </c>
      <c r="M4" t="s">
        <v>161</v>
      </c>
      <c r="O4">
        <v>2</v>
      </c>
      <c r="R4" t="b">
        <v>0</v>
      </c>
      <c r="S4" t="s">
        <v>164</v>
      </c>
      <c r="T4" t="s">
        <v>165</v>
      </c>
      <c r="U4" t="b">
        <v>1</v>
      </c>
    </row>
    <row r="5" spans="1:21" x14ac:dyDescent="0.25">
      <c r="A5" t="s">
        <v>166</v>
      </c>
      <c r="B5" t="str">
        <f t="shared" si="0"/>
        <v>Bunk Bed</v>
      </c>
      <c r="C5" t="s">
        <v>167</v>
      </c>
      <c r="D5" t="s">
        <v>160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156</v>
      </c>
      <c r="M5" t="s">
        <v>161</v>
      </c>
      <c r="O5">
        <v>2</v>
      </c>
      <c r="R5" t="b">
        <v>1</v>
      </c>
      <c r="S5" t="s">
        <v>168</v>
      </c>
      <c r="T5" t="s">
        <v>169</v>
      </c>
      <c r="U5" t="b">
        <v>1</v>
      </c>
    </row>
    <row r="6" spans="1:21" x14ac:dyDescent="0.25">
      <c r="A6" s="7" t="s">
        <v>170</v>
      </c>
      <c r="B6" t="str">
        <f t="shared" si="0"/>
        <v>Canopy Bed</v>
      </c>
      <c r="C6" t="s">
        <v>171</v>
      </c>
      <c r="D6" t="s">
        <v>160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156</v>
      </c>
      <c r="M6" t="s">
        <v>161</v>
      </c>
      <c r="O6">
        <v>2</v>
      </c>
      <c r="R6" t="b">
        <v>0</v>
      </c>
      <c r="U6" t="b">
        <v>0</v>
      </c>
    </row>
    <row r="7" spans="1:21" x14ac:dyDescent="0.25">
      <c r="A7" t="s">
        <v>172</v>
      </c>
      <c r="B7" t="str">
        <f t="shared" si="0"/>
        <v>Budget Wardrobe</v>
      </c>
      <c r="C7" t="s">
        <v>173</v>
      </c>
      <c r="D7" t="s">
        <v>174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156</v>
      </c>
      <c r="M7" t="s">
        <v>161</v>
      </c>
      <c r="O7">
        <v>3</v>
      </c>
      <c r="R7" t="b">
        <v>0</v>
      </c>
      <c r="S7" t="s">
        <v>175</v>
      </c>
      <c r="T7" t="s">
        <v>176</v>
      </c>
      <c r="U7" t="b">
        <v>1</v>
      </c>
    </row>
    <row r="8" spans="1:21" x14ac:dyDescent="0.25">
      <c r="A8" t="s">
        <v>177</v>
      </c>
      <c r="B8" t="str">
        <f t="shared" si="0"/>
        <v>Fine Wardrobe</v>
      </c>
      <c r="C8" t="s">
        <v>178</v>
      </c>
      <c r="D8" t="s">
        <v>174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156</v>
      </c>
      <c r="M8" t="s">
        <v>161</v>
      </c>
      <c r="O8">
        <v>3</v>
      </c>
      <c r="R8" t="b">
        <v>0</v>
      </c>
      <c r="S8" t="s">
        <v>175</v>
      </c>
      <c r="T8" t="s">
        <v>179</v>
      </c>
      <c r="U8" t="b">
        <v>1</v>
      </c>
    </row>
    <row r="9" spans="1:21" x14ac:dyDescent="0.25">
      <c r="A9" t="s">
        <v>180</v>
      </c>
      <c r="B9" t="str">
        <f t="shared" si="0"/>
        <v>Ornate Wardrobe</v>
      </c>
      <c r="D9" t="s">
        <v>174</v>
      </c>
      <c r="E9" t="s">
        <v>181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156</v>
      </c>
      <c r="M9" t="s">
        <v>161</v>
      </c>
      <c r="O9">
        <v>3</v>
      </c>
      <c r="R9" t="b">
        <v>0</v>
      </c>
      <c r="S9" t="s">
        <v>175</v>
      </c>
      <c r="T9" t="s">
        <v>182</v>
      </c>
      <c r="U9" t="b">
        <v>1</v>
      </c>
    </row>
    <row r="10" spans="1:21" x14ac:dyDescent="0.25">
      <c r="A10" s="7" t="s">
        <v>183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156</v>
      </c>
      <c r="M10" t="s">
        <v>161</v>
      </c>
      <c r="O10">
        <v>1</v>
      </c>
      <c r="R10" t="b">
        <v>0</v>
      </c>
      <c r="U10" t="b">
        <v>0</v>
      </c>
    </row>
    <row r="11" spans="1:21" x14ac:dyDescent="0.25">
      <c r="A11" s="7" t="s">
        <v>184</v>
      </c>
      <c r="B11" t="str">
        <f t="shared" si="0"/>
        <v>Wash Basin</v>
      </c>
      <c r="E11" t="s">
        <v>185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156</v>
      </c>
      <c r="M11" t="s">
        <v>161</v>
      </c>
      <c r="O11">
        <v>1</v>
      </c>
      <c r="R11" t="b">
        <v>0</v>
      </c>
      <c r="U11" t="b">
        <v>0</v>
      </c>
    </row>
    <row r="12" spans="1:21" x14ac:dyDescent="0.25">
      <c r="A12" s="7" t="s">
        <v>186</v>
      </c>
      <c r="B12" t="str">
        <f t="shared" si="0"/>
        <v>Artisan Rug</v>
      </c>
      <c r="E12" t="s">
        <v>187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156</v>
      </c>
      <c r="O12">
        <v>2</v>
      </c>
      <c r="R12" t="b">
        <v>0</v>
      </c>
      <c r="U12" t="b">
        <v>0</v>
      </c>
    </row>
    <row r="13" spans="1:21" x14ac:dyDescent="0.25">
      <c r="A13" s="7" t="s">
        <v>188</v>
      </c>
      <c r="B13" t="str">
        <f t="shared" si="0"/>
        <v>Mirror</v>
      </c>
      <c r="E13" t="s">
        <v>189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156</v>
      </c>
      <c r="M13" t="s">
        <v>161</v>
      </c>
      <c r="O13">
        <v>1</v>
      </c>
      <c r="R13" t="b">
        <v>0</v>
      </c>
      <c r="U13" t="b">
        <v>0</v>
      </c>
    </row>
    <row r="14" spans="1:21" x14ac:dyDescent="0.25">
      <c r="A14" s="7" t="s">
        <v>190</v>
      </c>
      <c r="B14" t="str">
        <f t="shared" si="0"/>
        <v>Trunk</v>
      </c>
      <c r="C14" t="s">
        <v>191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156</v>
      </c>
      <c r="M14" t="s">
        <v>161</v>
      </c>
      <c r="O14">
        <v>2</v>
      </c>
      <c r="R14" t="b">
        <v>0</v>
      </c>
      <c r="U14" t="b">
        <v>0</v>
      </c>
    </row>
    <row r="15" spans="1:21" x14ac:dyDescent="0.25">
      <c r="A15" s="7" t="s">
        <v>192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156</v>
      </c>
      <c r="O15">
        <v>3</v>
      </c>
      <c r="R15" t="b">
        <v>0</v>
      </c>
      <c r="U15" t="b">
        <v>0</v>
      </c>
    </row>
    <row r="16" spans="1:21" x14ac:dyDescent="0.25">
      <c r="A16" s="7" t="s">
        <v>193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156</v>
      </c>
      <c r="M16" t="s">
        <v>161</v>
      </c>
      <c r="O16">
        <v>1</v>
      </c>
      <c r="R16" t="b">
        <v>0</v>
      </c>
      <c r="U16" t="b">
        <v>0</v>
      </c>
    </row>
    <row r="17" spans="1:21" x14ac:dyDescent="0.25">
      <c r="A17" t="s">
        <v>194</v>
      </c>
      <c r="B17" t="str">
        <f t="shared" si="0"/>
        <v>Small Houseplant</v>
      </c>
      <c r="D17" t="s">
        <v>195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156</v>
      </c>
      <c r="O17">
        <v>1</v>
      </c>
      <c r="R17" t="b">
        <v>0</v>
      </c>
      <c r="S17" t="s">
        <v>196</v>
      </c>
      <c r="T17" t="s">
        <v>197</v>
      </c>
      <c r="U17" t="b">
        <v>1</v>
      </c>
    </row>
    <row r="18" spans="1:21" x14ac:dyDescent="0.25">
      <c r="A18" s="7" t="s">
        <v>198</v>
      </c>
      <c r="B18" t="str">
        <f t="shared" si="0"/>
        <v>Big Houseplant</v>
      </c>
      <c r="E18" s="1" t="s">
        <v>199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156</v>
      </c>
      <c r="O18">
        <v>2</v>
      </c>
      <c r="R18" t="b">
        <v>0</v>
      </c>
      <c r="U18" t="b">
        <v>0</v>
      </c>
    </row>
    <row r="19" spans="1:21" x14ac:dyDescent="0.25">
      <c r="A19" s="7" t="s">
        <v>200</v>
      </c>
      <c r="B19" t="str">
        <f t="shared" si="0"/>
        <v>Chamber Pot</v>
      </c>
      <c r="C19" t="s">
        <v>201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156</v>
      </c>
      <c r="M19" t="s">
        <v>142</v>
      </c>
      <c r="O19">
        <v>1</v>
      </c>
      <c r="R19" t="b">
        <v>0</v>
      </c>
      <c r="U19" t="b">
        <v>0</v>
      </c>
    </row>
    <row r="20" spans="1:21" x14ac:dyDescent="0.25">
      <c r="A20" t="s">
        <v>202</v>
      </c>
      <c r="B20" t="str">
        <f t="shared" si="0"/>
        <v>Cooking Order Desk</v>
      </c>
      <c r="C20" t="s">
        <v>203</v>
      </c>
      <c r="D20" t="s">
        <v>204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156</v>
      </c>
      <c r="M20" t="s">
        <v>205</v>
      </c>
      <c r="O20">
        <v>2</v>
      </c>
      <c r="R20" t="b">
        <v>0</v>
      </c>
      <c r="S20" t="s">
        <v>206</v>
      </c>
      <c r="T20" t="s">
        <v>207</v>
      </c>
      <c r="U20" t="b">
        <v>1</v>
      </c>
    </row>
    <row r="21" spans="1:21" x14ac:dyDescent="0.25">
      <c r="A21" t="s">
        <v>208</v>
      </c>
      <c r="B21" t="str">
        <f t="shared" si="0"/>
        <v>Cooking Couldron</v>
      </c>
      <c r="C21" t="s">
        <v>209</v>
      </c>
      <c r="D21" t="s">
        <v>210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156</v>
      </c>
      <c r="M21" t="s">
        <v>211</v>
      </c>
      <c r="O21">
        <v>2</v>
      </c>
      <c r="R21" t="b">
        <v>0</v>
      </c>
      <c r="S21" t="s">
        <v>212</v>
      </c>
      <c r="T21" t="s">
        <v>213</v>
      </c>
      <c r="U21" t="b">
        <v>1</v>
      </c>
    </row>
    <row r="22" spans="1:21" x14ac:dyDescent="0.25">
      <c r="A22" t="s">
        <v>214</v>
      </c>
      <c r="B22" t="str">
        <f t="shared" si="0"/>
        <v>Small Seating Table</v>
      </c>
      <c r="D22" t="s">
        <v>215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156</v>
      </c>
      <c r="M22" t="s">
        <v>205</v>
      </c>
      <c r="O22">
        <v>2</v>
      </c>
      <c r="R22" t="b">
        <v>0</v>
      </c>
      <c r="S22" t="s">
        <v>216</v>
      </c>
      <c r="T22" t="s">
        <v>217</v>
      </c>
      <c r="U22" t="b">
        <v>1</v>
      </c>
    </row>
    <row r="23" spans="1:21" x14ac:dyDescent="0.25">
      <c r="A23" t="s">
        <v>218</v>
      </c>
      <c r="B23" t="str">
        <f t="shared" si="0"/>
        <v>Pass Table</v>
      </c>
      <c r="C23" t="s">
        <v>219</v>
      </c>
      <c r="D23" t="s">
        <v>220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156</v>
      </c>
      <c r="M23" t="s">
        <v>211</v>
      </c>
      <c r="O23">
        <v>2</v>
      </c>
      <c r="R23" t="b">
        <v>0</v>
      </c>
      <c r="S23" t="s">
        <v>221</v>
      </c>
      <c r="T23" t="s">
        <v>222</v>
      </c>
      <c r="U23" t="b">
        <v>1</v>
      </c>
    </row>
    <row r="24" spans="1:21" x14ac:dyDescent="0.25">
      <c r="A24" t="s">
        <v>223</v>
      </c>
      <c r="B24" t="str">
        <f t="shared" si="0"/>
        <v>Crate</v>
      </c>
      <c r="C24" t="s">
        <v>224</v>
      </c>
      <c r="D24" t="s">
        <v>225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156</v>
      </c>
      <c r="O24">
        <v>2</v>
      </c>
      <c r="R24" t="b">
        <v>0</v>
      </c>
      <c r="S24" t="s">
        <v>226</v>
      </c>
      <c r="T24" t="s">
        <v>227</v>
      </c>
      <c r="U24" t="b">
        <v>1</v>
      </c>
    </row>
    <row r="25" spans="1:21" x14ac:dyDescent="0.25">
      <c r="A25" s="7" t="s">
        <v>228</v>
      </c>
      <c r="B25" t="str">
        <f t="shared" si="0"/>
        <v>Barrel</v>
      </c>
      <c r="C25" t="s">
        <v>224</v>
      </c>
      <c r="D25" t="s">
        <v>225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156</v>
      </c>
      <c r="O25">
        <v>2</v>
      </c>
      <c r="R25" t="b">
        <v>0</v>
      </c>
      <c r="S25" t="s">
        <v>229</v>
      </c>
      <c r="T25" t="s">
        <v>230</v>
      </c>
      <c r="U25" t="b">
        <v>1</v>
      </c>
    </row>
    <row r="26" spans="1:21" x14ac:dyDescent="0.25">
      <c r="A26" t="s">
        <v>231</v>
      </c>
      <c r="B26" t="str">
        <f t="shared" si="0"/>
        <v>Wall Torch</v>
      </c>
      <c r="C26" t="s">
        <v>232</v>
      </c>
      <c r="D26" t="s">
        <v>233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234</v>
      </c>
      <c r="O26">
        <v>0</v>
      </c>
      <c r="P26">
        <v>1.4</v>
      </c>
      <c r="R26" t="b">
        <v>0</v>
      </c>
      <c r="S26" t="s">
        <v>235</v>
      </c>
      <c r="T26" t="s">
        <v>236</v>
      </c>
      <c r="U26" t="b">
        <v>1</v>
      </c>
    </row>
    <row r="27" spans="1:21" x14ac:dyDescent="0.25">
      <c r="A27" t="s">
        <v>237</v>
      </c>
      <c r="B27" t="str">
        <f t="shared" si="0"/>
        <v>Condiment Shelf</v>
      </c>
      <c r="C27" t="s">
        <v>238</v>
      </c>
      <c r="D27" t="s">
        <v>239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234</v>
      </c>
      <c r="M27" t="s">
        <v>211</v>
      </c>
      <c r="O27">
        <v>1</v>
      </c>
      <c r="P27" s="1">
        <v>4.4000000000000004</v>
      </c>
      <c r="R27" t="b">
        <v>0</v>
      </c>
      <c r="S27" t="s">
        <v>240</v>
      </c>
      <c r="T27" t="s">
        <v>241</v>
      </c>
      <c r="U27" t="b">
        <v>1</v>
      </c>
    </row>
    <row r="28" spans="1:21" x14ac:dyDescent="0.25">
      <c r="A28" t="s">
        <v>242</v>
      </c>
      <c r="B28" t="str">
        <f t="shared" si="0"/>
        <v>Condiment Shelf Small</v>
      </c>
      <c r="C28" t="s">
        <v>238</v>
      </c>
      <c r="D28" t="s">
        <v>239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234</v>
      </c>
      <c r="M28" t="s">
        <v>211</v>
      </c>
      <c r="O28">
        <v>1</v>
      </c>
      <c r="P28" s="1">
        <v>4.4000000000000004</v>
      </c>
      <c r="R28" t="b">
        <v>0</v>
      </c>
      <c r="S28" t="s">
        <v>240</v>
      </c>
      <c r="T28" t="s">
        <v>243</v>
      </c>
      <c r="U28" t="b">
        <v>1</v>
      </c>
    </row>
    <row r="29" spans="1:21" x14ac:dyDescent="0.25">
      <c r="A29" t="s">
        <v>244</v>
      </c>
      <c r="B29" t="str">
        <f t="shared" si="0"/>
        <v>Hanging Frying Pans</v>
      </c>
      <c r="C29" t="s">
        <v>238</v>
      </c>
      <c r="D29" t="s">
        <v>239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234</v>
      </c>
      <c r="M29" t="s">
        <v>211</v>
      </c>
      <c r="O29">
        <v>0</v>
      </c>
      <c r="R29" t="b">
        <v>0</v>
      </c>
    </row>
    <row r="30" spans="1:21" x14ac:dyDescent="0.25">
      <c r="A30" t="s">
        <v>245</v>
      </c>
      <c r="B30" t="str">
        <f t="shared" si="0"/>
        <v>Butcher Table</v>
      </c>
      <c r="D30" t="s">
        <v>246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156</v>
      </c>
      <c r="M30" t="s">
        <v>211</v>
      </c>
      <c r="O30">
        <v>2</v>
      </c>
      <c r="R30" t="b">
        <v>0</v>
      </c>
    </row>
    <row r="31" spans="1:21" x14ac:dyDescent="0.25">
      <c r="A31" t="s">
        <v>247</v>
      </c>
      <c r="B31" t="str">
        <f t="shared" si="0"/>
        <v>Hanging Meat</v>
      </c>
      <c r="D31" t="s">
        <v>246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4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248</v>
      </c>
      <c r="B2" s="3" t="s">
        <v>249</v>
      </c>
      <c r="C2" t="s">
        <v>28</v>
      </c>
      <c r="D2" t="s">
        <v>34</v>
      </c>
      <c r="E2" t="s">
        <v>27</v>
      </c>
      <c r="F2" t="s">
        <v>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-0.249977111117893"/>
  </sheetPr>
  <dimension ref="A1:C45"/>
  <sheetViews>
    <sheetView workbookViewId="0">
      <pane ySplit="1" topLeftCell="A2" activePane="bottomLeft" state="frozen"/>
      <selection pane="bottomLeft" activeCell="C34" sqref="C34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250</v>
      </c>
      <c r="B1" t="s">
        <v>251</v>
      </c>
      <c r="C1" t="s">
        <v>137</v>
      </c>
    </row>
    <row r="2" spans="1:3" x14ac:dyDescent="0.25">
      <c r="A2" s="11" t="s">
        <v>248</v>
      </c>
      <c r="B2" s="11" t="s">
        <v>0</v>
      </c>
      <c r="C2" s="11" t="s">
        <v>252</v>
      </c>
    </row>
    <row r="3" spans="1:3" x14ac:dyDescent="0.25">
      <c r="A3" s="11" t="s">
        <v>248</v>
      </c>
      <c r="B3" s="11" t="s">
        <v>1</v>
      </c>
      <c r="C3" s="11" t="s">
        <v>252</v>
      </c>
    </row>
    <row r="4" spans="1:3" x14ac:dyDescent="0.25">
      <c r="A4" s="11" t="s">
        <v>248</v>
      </c>
      <c r="B4" s="11" t="s">
        <v>2</v>
      </c>
      <c r="C4" s="11" t="s">
        <v>252</v>
      </c>
    </row>
    <row r="5" spans="1:3" x14ac:dyDescent="0.25">
      <c r="A5" s="11" t="s">
        <v>248</v>
      </c>
      <c r="B5" s="11" t="s">
        <v>3</v>
      </c>
      <c r="C5" s="11" t="s">
        <v>252</v>
      </c>
    </row>
    <row r="6" spans="1:3" x14ac:dyDescent="0.25">
      <c r="A6" s="11" t="s">
        <v>248</v>
      </c>
      <c r="B6" s="11" t="s">
        <v>4</v>
      </c>
      <c r="C6" s="11" t="s">
        <v>252</v>
      </c>
    </row>
    <row r="7" spans="1:3" x14ac:dyDescent="0.25">
      <c r="A7" s="11" t="s">
        <v>248</v>
      </c>
      <c r="B7" s="11" t="s">
        <v>5</v>
      </c>
      <c r="C7" s="11" t="s">
        <v>252</v>
      </c>
    </row>
    <row r="8" spans="1:3" x14ac:dyDescent="0.25">
      <c r="A8" s="11" t="s">
        <v>248</v>
      </c>
      <c r="B8" s="11" t="s">
        <v>7</v>
      </c>
      <c r="C8" s="11" t="s">
        <v>252</v>
      </c>
    </row>
    <row r="9" spans="1:3" x14ac:dyDescent="0.25">
      <c r="A9" s="11" t="s">
        <v>248</v>
      </c>
      <c r="B9" s="11" t="s">
        <v>8</v>
      </c>
      <c r="C9" s="11" t="s">
        <v>253</v>
      </c>
    </row>
    <row r="10" spans="1:3" x14ac:dyDescent="0.25">
      <c r="A10" s="11" t="s">
        <v>248</v>
      </c>
      <c r="B10" s="11" t="s">
        <v>9</v>
      </c>
      <c r="C10" s="11" t="s">
        <v>253</v>
      </c>
    </row>
    <row r="11" spans="1:3" x14ac:dyDescent="0.25">
      <c r="A11" s="11" t="s">
        <v>248</v>
      </c>
      <c r="B11" s="11" t="s">
        <v>14</v>
      </c>
      <c r="C11" s="11" t="s">
        <v>253</v>
      </c>
    </row>
    <row r="12" spans="1:3" x14ac:dyDescent="0.25">
      <c r="A12" s="11" t="s">
        <v>248</v>
      </c>
      <c r="B12" s="11" t="s">
        <v>12</v>
      </c>
      <c r="C12" s="11" t="s">
        <v>253</v>
      </c>
    </row>
    <row r="13" spans="1:3" x14ac:dyDescent="0.25">
      <c r="A13" s="11" t="s">
        <v>248</v>
      </c>
      <c r="B13" s="11" t="s">
        <v>13</v>
      </c>
      <c r="C13" s="11" t="s">
        <v>253</v>
      </c>
    </row>
    <row r="14" spans="1:3" x14ac:dyDescent="0.25">
      <c r="A14" s="11" t="s">
        <v>248</v>
      </c>
      <c r="B14" s="11" t="s">
        <v>10</v>
      </c>
      <c r="C14" s="11" t="s">
        <v>253</v>
      </c>
    </row>
    <row r="15" spans="1:3" x14ac:dyDescent="0.25">
      <c r="A15" s="11" t="s">
        <v>248</v>
      </c>
      <c r="B15" s="11" t="s">
        <v>11</v>
      </c>
      <c r="C15" s="11" t="s">
        <v>253</v>
      </c>
    </row>
    <row r="16" spans="1:3" x14ac:dyDescent="0.25">
      <c r="A16" s="11" t="s">
        <v>248</v>
      </c>
      <c r="B16" s="11" t="s">
        <v>15</v>
      </c>
      <c r="C16" s="11" t="s">
        <v>253</v>
      </c>
    </row>
    <row r="17" spans="1:3" x14ac:dyDescent="0.25">
      <c r="A17" s="11" t="s">
        <v>248</v>
      </c>
      <c r="B17" s="11" t="s">
        <v>16</v>
      </c>
      <c r="C17" s="11" t="s">
        <v>254</v>
      </c>
    </row>
    <row r="18" spans="1:3" x14ac:dyDescent="0.25">
      <c r="A18" s="11" t="s">
        <v>248</v>
      </c>
      <c r="B18" s="11" t="s">
        <v>17</v>
      </c>
      <c r="C18" s="11" t="s">
        <v>254</v>
      </c>
    </row>
    <row r="19" spans="1:3" x14ac:dyDescent="0.25">
      <c r="A19" s="11" t="s">
        <v>248</v>
      </c>
      <c r="B19" s="11" t="s">
        <v>18</v>
      </c>
      <c r="C19" s="11" t="s">
        <v>254</v>
      </c>
    </row>
    <row r="20" spans="1:3" x14ac:dyDescent="0.25">
      <c r="A20" s="11" t="s">
        <v>248</v>
      </c>
      <c r="B20" s="11" t="s">
        <v>19</v>
      </c>
      <c r="C20" s="11" t="s">
        <v>254</v>
      </c>
    </row>
    <row r="21" spans="1:3" x14ac:dyDescent="0.25">
      <c r="A21" s="11" t="s">
        <v>248</v>
      </c>
      <c r="B21" s="11" t="s">
        <v>20</v>
      </c>
      <c r="C21" s="11" t="s">
        <v>252</v>
      </c>
    </row>
    <row r="22" spans="1:3" x14ac:dyDescent="0.25">
      <c r="A22" s="11" t="s">
        <v>248</v>
      </c>
      <c r="B22" s="11" t="s">
        <v>21</v>
      </c>
      <c r="C22" s="11" t="s">
        <v>255</v>
      </c>
    </row>
    <row r="23" spans="1:3" x14ac:dyDescent="0.25">
      <c r="A23" s="12" t="s">
        <v>256</v>
      </c>
      <c r="B23" s="12" t="s">
        <v>0</v>
      </c>
      <c r="C23" s="12" t="s">
        <v>252</v>
      </c>
    </row>
    <row r="24" spans="1:3" x14ac:dyDescent="0.25">
      <c r="A24" s="12" t="s">
        <v>256</v>
      </c>
      <c r="B24" s="12" t="s">
        <v>1</v>
      </c>
      <c r="C24" s="12" t="s">
        <v>252</v>
      </c>
    </row>
    <row r="25" spans="1:3" x14ac:dyDescent="0.25">
      <c r="A25" s="12" t="s">
        <v>256</v>
      </c>
      <c r="B25" s="12" t="s">
        <v>42</v>
      </c>
      <c r="C25" s="12" t="s">
        <v>252</v>
      </c>
    </row>
    <row r="26" spans="1:3" x14ac:dyDescent="0.25">
      <c r="A26" s="12" t="s">
        <v>256</v>
      </c>
      <c r="B26" s="12" t="s">
        <v>43</v>
      </c>
      <c r="C26" s="12" t="s">
        <v>252</v>
      </c>
    </row>
    <row r="27" spans="1:3" x14ac:dyDescent="0.25">
      <c r="A27" s="12" t="s">
        <v>256</v>
      </c>
      <c r="B27" s="12" t="s">
        <v>44</v>
      </c>
      <c r="C27" s="12" t="s">
        <v>252</v>
      </c>
    </row>
    <row r="28" spans="1:3" x14ac:dyDescent="0.25">
      <c r="A28" s="12" t="s">
        <v>256</v>
      </c>
      <c r="B28" s="12" t="s">
        <v>45</v>
      </c>
      <c r="C28" s="12" t="s">
        <v>253</v>
      </c>
    </row>
    <row r="29" spans="1:3" x14ac:dyDescent="0.25">
      <c r="A29" s="12" t="s">
        <v>256</v>
      </c>
      <c r="B29" s="12" t="s">
        <v>46</v>
      </c>
      <c r="C29" s="12" t="s">
        <v>253</v>
      </c>
    </row>
    <row r="30" spans="1:3" x14ac:dyDescent="0.25">
      <c r="A30" s="12" t="s">
        <v>256</v>
      </c>
      <c r="B30" s="12" t="s">
        <v>47</v>
      </c>
      <c r="C30" s="12" t="s">
        <v>253</v>
      </c>
    </row>
    <row r="31" spans="1:3" x14ac:dyDescent="0.25">
      <c r="A31" s="12" t="s">
        <v>256</v>
      </c>
      <c r="B31" s="12" t="s">
        <v>20</v>
      </c>
      <c r="C31" s="12" t="s">
        <v>252</v>
      </c>
    </row>
    <row r="32" spans="1:3" x14ac:dyDescent="0.25">
      <c r="A32" s="16" t="s">
        <v>44</v>
      </c>
      <c r="B32" s="16" t="s">
        <v>0</v>
      </c>
      <c r="C32" s="16" t="s">
        <v>252</v>
      </c>
    </row>
    <row r="33" spans="1:3" x14ac:dyDescent="0.25">
      <c r="A33" s="16" t="s">
        <v>44</v>
      </c>
      <c r="B33" s="16" t="s">
        <v>1</v>
      </c>
      <c r="C33" s="16" t="s">
        <v>252</v>
      </c>
    </row>
    <row r="34" spans="1:3" x14ac:dyDescent="0.25">
      <c r="A34" s="16" t="s">
        <v>44</v>
      </c>
      <c r="B34" s="16" t="s">
        <v>42</v>
      </c>
      <c r="C34" s="16" t="s">
        <v>252</v>
      </c>
    </row>
    <row r="35" spans="1:3" x14ac:dyDescent="0.25">
      <c r="A35" s="15" t="s">
        <v>257</v>
      </c>
      <c r="B35" s="15" t="s">
        <v>0</v>
      </c>
      <c r="C35" s="15" t="s">
        <v>252</v>
      </c>
    </row>
    <row r="36" spans="1:3" x14ac:dyDescent="0.25">
      <c r="A36" s="15" t="s">
        <v>257</v>
      </c>
      <c r="B36" s="15" t="s">
        <v>1</v>
      </c>
      <c r="C36" s="15" t="s">
        <v>252</v>
      </c>
    </row>
    <row r="37" spans="1:3" x14ac:dyDescent="0.25">
      <c r="A37" s="15" t="s">
        <v>257</v>
      </c>
      <c r="B37" s="15" t="s">
        <v>71</v>
      </c>
      <c r="C37" s="15" t="s">
        <v>252</v>
      </c>
    </row>
    <row r="38" spans="1:3" x14ac:dyDescent="0.25">
      <c r="A38" s="15" t="s">
        <v>257</v>
      </c>
      <c r="B38" s="15" t="s">
        <v>42</v>
      </c>
      <c r="C38" s="15" t="s">
        <v>252</v>
      </c>
    </row>
    <row r="39" spans="1:3" x14ac:dyDescent="0.25">
      <c r="A39" s="15" t="s">
        <v>257</v>
      </c>
      <c r="B39" s="15" t="s">
        <v>3</v>
      </c>
      <c r="C39" s="15" t="s">
        <v>252</v>
      </c>
    </row>
    <row r="40" spans="1:3" x14ac:dyDescent="0.25">
      <c r="A40" s="15" t="s">
        <v>257</v>
      </c>
      <c r="B40" s="15" t="s">
        <v>4</v>
      </c>
      <c r="C40" s="15" t="s">
        <v>252</v>
      </c>
    </row>
    <row r="41" spans="1:3" ht="15.75" customHeight="1" x14ac:dyDescent="0.25">
      <c r="A41" s="15" t="s">
        <v>257</v>
      </c>
      <c r="B41" s="15" t="s">
        <v>5</v>
      </c>
      <c r="C41" s="15" t="s">
        <v>252</v>
      </c>
    </row>
    <row r="42" spans="1:3" ht="15.75" customHeight="1" x14ac:dyDescent="0.25">
      <c r="A42" s="15" t="s">
        <v>257</v>
      </c>
      <c r="B42" s="15" t="s">
        <v>21</v>
      </c>
      <c r="C42" s="15" t="s">
        <v>255</v>
      </c>
    </row>
    <row r="43" spans="1:3" x14ac:dyDescent="0.25">
      <c r="A43" s="14" t="s">
        <v>7</v>
      </c>
      <c r="B43" s="14" t="s">
        <v>0</v>
      </c>
      <c r="C43" s="14" t="s">
        <v>252</v>
      </c>
    </row>
    <row r="44" spans="1:3" x14ac:dyDescent="0.25">
      <c r="A44" s="14" t="s">
        <v>7</v>
      </c>
      <c r="B44" s="14" t="s">
        <v>1</v>
      </c>
      <c r="C44" s="14" t="s">
        <v>252</v>
      </c>
    </row>
    <row r="45" spans="1:3" x14ac:dyDescent="0.25">
      <c r="A45" s="14" t="s">
        <v>7</v>
      </c>
      <c r="B45" s="14" t="s">
        <v>42</v>
      </c>
      <c r="C45" s="14" t="s">
        <v>252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orbs</vt:lpstr>
      <vt:lpstr>glyphs</vt:lpstr>
      <vt:lpstr>attribute</vt:lpstr>
      <vt:lpstr>attunements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2026-09-17T16:36:55Z</dcterms:modified>
</cp:coreProperties>
</file>