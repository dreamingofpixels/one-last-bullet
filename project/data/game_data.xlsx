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F88551BE-FB3D-4078-9BD6-52BD9070121E}" xr6:coauthVersionLast="47" xr6:coauthVersionMax="47" xr10:uidLastSave="{00000000-0000-0000-0000-000000000000}"/>
  <bookViews>
    <workbookView xWindow="4050" yWindow="5535" windowWidth="28800" windowHeight="15345" tabRatio="696" xr2:uid="{00000000-000D-0000-FFFF-FFFF00000000}"/>
  </bookViews>
  <sheets>
    <sheet name="orbs" sheetId="1" r:id="rId1"/>
    <sheet name="glyphs" sheetId="15" r:id="rId2"/>
    <sheet name="attunements" sheetId="17" r:id="rId3"/>
    <sheet name="motion" sheetId="16" r:id="rId4"/>
    <sheet name="objects_OLD" sheetId="3" state="hidden" r:id="rId5"/>
    <sheet name="input" sheetId="13" r:id="rId6"/>
    <sheet name="schema" sheetId="14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7" l="1"/>
  <c r="B19" i="17"/>
  <c r="B18" i="17"/>
  <c r="B17" i="17"/>
  <c r="B16" i="17"/>
  <c r="B15" i="17"/>
  <c r="B14" i="17"/>
  <c r="B13" i="17"/>
  <c r="B10" i="17"/>
  <c r="B11" i="17"/>
  <c r="B12" i="17"/>
  <c r="B9" i="17"/>
  <c r="B8" i="17"/>
  <c r="B7" i="17"/>
  <c r="I3" i="15"/>
  <c r="I4" i="15"/>
  <c r="I5" i="15"/>
  <c r="I6" i="15"/>
  <c r="I7" i="15"/>
  <c r="I8" i="15"/>
  <c r="I9" i="15"/>
  <c r="I10" i="15"/>
  <c r="I11" i="15"/>
  <c r="I12" i="15"/>
  <c r="I13" i="15"/>
  <c r="I2" i="15"/>
  <c r="B6" i="17"/>
  <c r="B5" i="17"/>
  <c r="B4" i="17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3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2" i="17"/>
  <c r="B2" i="17"/>
  <c r="H2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6" i="1"/>
  <c r="G7" i="1"/>
  <c r="G8" i="1"/>
  <c r="G9" i="1"/>
  <c r="G10" i="1"/>
  <c r="G11" i="1"/>
  <c r="H11" i="1" s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4" i="1"/>
  <c r="G5" i="1"/>
  <c r="G3" i="1"/>
  <c r="B2" i="16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H10" i="1" l="1"/>
  <c r="H9" i="1"/>
  <c r="H8" i="1"/>
  <c r="H7" i="1"/>
  <c r="H5" i="1"/>
  <c r="H3" i="1"/>
  <c r="H6" i="1"/>
  <c r="H4" i="1"/>
</calcChain>
</file>

<file path=xl/sharedStrings.xml><?xml version="1.0" encoding="utf-8"?>
<sst xmlns="http://schemas.openxmlformats.org/spreadsheetml/2006/main" count="589" uniqueCount="276">
  <si>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</si>
  <si>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</si>
  <si>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</si>
  <si>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</si>
  <si>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</si>
  <si>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</si>
  <si>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</si>
  <si>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</si>
  <si>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</si>
  <si>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</si>
  <si>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</si>
  <si>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</si>
  <si>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</si>
  <si>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</si>
  <si>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</si>
  <si>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</si>
  <si>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</si>
  <si>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</si>
  <si>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</si>
  <si>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</si>
  <si>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</si>
  <si>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</si>
  <si>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</si>
  <si>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</si>
  <si>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</si>
  <si>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</si>
  <si>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</si>
  <si>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</si>
  <si>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</si>
  <si>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</si>
  <si>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</si>
  <si>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</si>
  <si>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</si>
  <si>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</si>
  <si>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</si>
  <si>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</si>
  <si>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</si>
  <si>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</si>
  <si>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</si>
  <si>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</si>
  <si>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</si>
  <si>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</si>
  <si>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</si>
  <si>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</si>
  <si>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</si>
  <si>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</si>
  <si>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</si>
  <si>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</si>
  <si>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</si>
  <si>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</si>
  <si>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</si>
  <si>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</si>
  <si>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</si>
  <si>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</si>
  <si>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</si>
  <si>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</si>
  <si>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</si>
  <si>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</si>
  <si>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</si>
  <si>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</si>
  <si>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</si>
  <si>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</si>
  <si>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</si>
  <si>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</si>
  <si>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</si>
  <si>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</si>
  <si>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</si>
  <si>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</si>
  <si>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</si>
  <si>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</si>
  <si>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</si>
  <si>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</si>
  <si>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</si>
  <si>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</si>
  <si>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</si>
  <si>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</si>
  <si>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</si>
  <si>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</si>
  <si>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</si>
  <si>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</si>
  <si>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</si>
  <si>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</si>
  <si>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</si>
  <si>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</si>
  <si>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</si>
  <si>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</si>
  <si>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</si>
  <si>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</si>
  <si>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</si>
  <si>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</si>
  <si>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</si>
  <si>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</si>
  <si>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</si>
  <si>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</si>
  <si>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</si>
  <si>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</si>
  <si>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</si>
  <si>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</si>
  <si>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</si>
  <si>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</si>
  <si>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</si>
  <si>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</si>
  <si>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</si>
  <si>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</si>
  <si>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</si>
  <si>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</si>
  <si>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</si>
  <si>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</si>
  <si>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</si>
  <si>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</si>
  <si>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</si>
  <si>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</si>
  <si>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</si>
  <si>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</si>
  <si>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</si>
  <si>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</si>
  <si>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</si>
  <si>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</si>
  <si>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</si>
  <si>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</si>
  <si>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</si>
  <si>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</si>
  <si>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</si>
  <si>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</si>
  <si>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</si>
  <si>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</si>
  <si>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</si>
  <si>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</si>
  <si>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</si>
  <si>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</si>
  <si>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</si>
  <si>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</si>
  <si>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</si>
  <si>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</si>
  <si>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</si>
  <si>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</si>
  <si>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</si>
  <si>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</si>
  <si>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</si>
  <si>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</si>
  <si>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</si>
  <si>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</si>
  <si>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</si>
  <si>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</si>
  <si>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</si>
  <si>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</si>
  <si>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</si>
  <si>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</si>
  <si>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</si>
  <si>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</si>
  <si>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</si>
  <si>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</si>
  <si>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</si>
  <si>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</si>
  <si>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</si>
  <si>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</si>
  <si>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</si>
  <si>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</si>
  <si>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</si>
  <si>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</si>
  <si>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</si>
  <si>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</si>
  <si>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</si>
  <si>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</si>
  <si>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</si>
  <si>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</si>
  <si>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</si>
  <si>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</si>
  <si>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</si>
  <si>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</si>
  <si>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</si>
  <si>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</si>
  <si>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</si>
  <si>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</si>
  <si>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</si>
  <si>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</si>
  <si>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</si>
  <si>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</si>
  <si>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</si>
  <si>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</si>
  <si>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</si>
  <si>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</si>
  <si>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</si>
  <si>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</si>
  <si>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</si>
  <si>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</si>
  <si>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</si>
  <si>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</si>
  <si>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</si>
  <si>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</si>
  <si>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</si>
  <si>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</si>
  <si>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</si>
  <si>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</si>
  <si>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</si>
  <si>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</si>
  <si>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</si>
  <si>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</si>
  <si>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</si>
  <si>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</si>
  <si>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ghost</t>
  </si>
  <si>
    <t>When you are within 120 meters of the orb, create a tether between you dealing 3 DPS to enemies touching 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</si>
  <si>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</si>
  <si>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</si>
  <si>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</si>
  <si>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</si>
  <si>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</si>
  <si>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</si>
  <si>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</si>
  <si>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</si>
  <si>
    <t>elements</t>
  </si>
  <si>
    <t>element_1</t>
  </si>
  <si>
    <t>element_2</t>
  </si>
  <si>
    <t>element_3</t>
  </si>
  <si>
    <t>unique?</t>
  </si>
  <si>
    <t>haunt</t>
  </si>
  <si>
    <t>orb_id</t>
  </si>
  <si>
    <t>attunements</t>
  </si>
  <si>
    <t>possesion</t>
  </si>
  <si>
    <t>attracted</t>
  </si>
  <si>
    <t>Changes Motion to Attracted</t>
  </si>
  <si>
    <t>Makes haunted enemy attack other enemies</t>
  </si>
  <si>
    <t>inferno</t>
  </si>
  <si>
    <t>Leaves a trail of fire after the orb for 2 seconds, inflicting 1 Burn on enemies</t>
  </si>
  <si>
    <t>trail</t>
  </si>
  <si>
    <t>Fire trail lasts 4 seconds</t>
  </si>
  <si>
    <t>kindling</t>
  </si>
  <si>
    <t>Dashing through a fire trail extends it</t>
  </si>
  <si>
    <t>When colliding with another orb, a fire trail is made</t>
  </si>
  <si>
    <t>spark</t>
  </si>
  <si>
    <t>Enters and haunts enemies and deal its impact damage per second to them. Once dead, exits in a random direction.</t>
  </si>
  <si>
    <t>No effect</t>
  </si>
  <si>
    <t>sooth</t>
  </si>
  <si>
    <t>shard</t>
  </si>
  <si>
    <t>Shoots ice chards around every 3 seconds, doing 30 damage and inflicting 2 Frost</t>
  </si>
  <si>
    <t>Beam now chains to enemies between you and the orb</t>
  </si>
  <si>
    <t>More beams connect to other orbs and players</t>
  </si>
  <si>
    <t>Range of the tether greatly increases</t>
  </si>
  <si>
    <t>When a shard breaks, two smaller shards shoot out dealing 10 damage and inflicting 1 Chill</t>
  </si>
  <si>
    <t>Shoots twice as many shards</t>
  </si>
  <si>
    <t>If orb hits an enemy with 10 or more chill, kill it instantly</t>
  </si>
  <si>
    <t>shatter</t>
  </si>
  <si>
    <t>splinter</t>
  </si>
  <si>
    <t>lethal</t>
  </si>
  <si>
    <t>chain</t>
  </si>
  <si>
    <t>conductor</t>
  </si>
  <si>
    <t>reach</t>
  </si>
  <si>
    <t>contagion</t>
  </si>
  <si>
    <t>On enemy death, a putrid cloud is left inflicting 1 poison on passing enemies</t>
  </si>
  <si>
    <t>All poison stacks spread on death</t>
  </si>
  <si>
    <t>virulence</t>
  </si>
  <si>
    <t>carrion</t>
  </si>
  <si>
    <t>outbreak</t>
  </si>
  <si>
    <t>runic</t>
  </si>
  <si>
    <t>Picks up glyphs instead of damaging them. Gets 5% damage increase for each deposited.</t>
  </si>
  <si>
    <t>improve</t>
  </si>
  <si>
    <t>Any picked up glyph goes up in rarity</t>
  </si>
  <si>
    <t>Gets 5% damage increase for each deposited glyph</t>
  </si>
  <si>
    <t>hoarder</t>
  </si>
  <si>
    <t>mend</t>
  </si>
  <si>
    <t>Does no self-damage. Players hit heal 10 hp instead</t>
  </si>
  <si>
    <t>Creates a shield around the orb. Any players within it take 50% less damage.</t>
  </si>
  <si>
    <t>guardian</t>
  </si>
  <si>
    <t>destroyer</t>
  </si>
  <si>
    <t>High damage. Inflicts Burn, Frost and Poison. Chases the nearest player</t>
  </si>
  <si>
    <t>While holding a glyph, inflict 5 of that glyphs corresponding elemental status to any hit enemies (burn, chill, shock or poison)</t>
  </si>
  <si>
    <t>affinity</t>
  </si>
  <si>
    <t>Shield reflects enemy projectiles back at them</t>
  </si>
  <si>
    <t>retribution</t>
  </si>
  <si>
    <t>Greatly extends the shields area</t>
  </si>
  <si>
    <t>shield</t>
  </si>
  <si>
    <t>While in the shield, players can dash with no cooldown</t>
  </si>
  <si>
    <t>flexible</t>
  </si>
  <si>
    <t>Steers towards glyphs</t>
  </si>
  <si>
    <t>Nearby enemies also get Disease status along with the poison</t>
  </si>
  <si>
    <t>20% chance of adding Disease status to enemies. On death half their poison spreads to other nearby enemies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</si>
</sst>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CA8914"/>
      <color rgb="FFFF7C80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8" sqref="C8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4</v>
      </c>
      <c r="D1" s="4" t="s">
        <v>211</v>
      </c>
      <c r="E1" s="4" t="s">
        <v>212</v>
      </c>
      <c r="F1" s="4" t="s">
        <v>213</v>
      </c>
      <c r="H1" s="4" t="s">
        <v>214</v>
      </c>
      <c r="I1" s="10" t="s">
        <v>166</v>
      </c>
      <c r="J1" s="9" t="s">
        <v>154</v>
      </c>
      <c r="K1" s="9" t="s">
        <v>155</v>
      </c>
      <c r="L1" s="9" t="s">
        <v>159</v>
      </c>
      <c r="M1" s="9" t="s">
        <v>160</v>
      </c>
      <c r="N1" s="9" t="s">
        <v>157</v>
      </c>
      <c r="O1" s="9" t="s">
        <v>158</v>
      </c>
      <c r="P1" s="9" t="s">
        <v>156</v>
      </c>
      <c r="Q1" s="9" t="s">
        <v>208</v>
      </c>
      <c r="R1" s="9" t="s">
        <v>161</v>
      </c>
      <c r="S1" s="9" t="s">
        <v>162</v>
      </c>
      <c r="T1" s="9" t="s">
        <v>163</v>
      </c>
      <c r="U1" s="9" t="s">
        <v>164</v>
      </c>
      <c r="V1" s="13" t="s">
        <v>109</v>
      </c>
      <c r="W1" s="13" t="s">
        <v>14</v>
      </c>
    </row>
    <row r="2" spans="1:23" x14ac:dyDescent="0.25">
      <c r="A2" t="s">
        <v>198</v>
      </c>
      <c r="B2" t="str">
        <f t="shared" ref="B2:B26" si="0">PROPER(SUBSTITUTE(A2,"_"," "))</f>
        <v>Blank</v>
      </c>
      <c r="C2" t="s">
        <v>231</v>
      </c>
      <c r="H2" t="str">
        <f t="shared" ref="H2:H5" si="1">IF(ISBLANK(F2),"",IF(COUNTIF($G$2:$G$101,G2)=1,"Yes","No"))</f>
        <v/>
      </c>
      <c r="I2" t="s">
        <v>165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">
        <v>203</v>
      </c>
      <c r="W2" t="b">
        <v>1</v>
      </c>
    </row>
    <row r="3" spans="1:23" x14ac:dyDescent="0.25">
      <c r="A3" t="s">
        <v>199</v>
      </c>
      <c r="B3" t="str">
        <f t="shared" si="0"/>
        <v>Conduit</v>
      </c>
      <c r="C3" t="s">
        <v>201</v>
      </c>
      <c r="D3" t="s">
        <v>132</v>
      </c>
      <c r="E3" t="s">
        <v>132</v>
      </c>
      <c r="F3" t="s">
        <v>125</v>
      </c>
      <c r="G3" t="str">
        <f>_xlfn.TEXTJOIN("|",TRUE,_xlfn._xlws.SORT(D3:F3))</f>
        <v>Air|Air|Fire</v>
      </c>
      <c r="H3" t="str">
        <f t="shared" si="1"/>
        <v>Yes</v>
      </c>
      <c r="I3" t="s">
        <v>165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">
        <v>204</v>
      </c>
      <c r="W3" t="b">
        <v>1</v>
      </c>
    </row>
    <row r="4" spans="1:23" x14ac:dyDescent="0.25">
      <c r="A4" t="s">
        <v>247</v>
      </c>
      <c r="B4" t="str">
        <f t="shared" si="0"/>
        <v>Contagion</v>
      </c>
      <c r="C4" t="s">
        <v>275</v>
      </c>
      <c r="D4" t="s">
        <v>136</v>
      </c>
      <c r="E4" t="s">
        <v>136</v>
      </c>
      <c r="F4" t="s">
        <v>132</v>
      </c>
      <c r="G4" t="str">
        <f t="shared" ref="G4:G67" si="2">_xlfn.TEXTJOIN("|",TRUE,_xlfn._xlws.SORT(D4:F4))</f>
        <v>Earth|Earth|Air</v>
      </c>
      <c r="H4" t="str">
        <f t="shared" si="1"/>
        <v>Yes</v>
      </c>
      <c r="I4" t="s">
        <v>165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">
        <v>205</v>
      </c>
      <c r="W4" t="b">
        <v>1</v>
      </c>
    </row>
    <row r="5" spans="1:23" x14ac:dyDescent="0.25">
      <c r="A5" t="s">
        <v>200</v>
      </c>
      <c r="B5" t="str">
        <f t="shared" si="0"/>
        <v>Ghost</v>
      </c>
      <c r="C5" t="s">
        <v>230</v>
      </c>
      <c r="D5" t="s">
        <v>132</v>
      </c>
      <c r="E5" t="s">
        <v>132</v>
      </c>
      <c r="F5" t="s">
        <v>136</v>
      </c>
      <c r="G5" t="str">
        <f t="shared" si="2"/>
        <v>Air|Air|Earth</v>
      </c>
      <c r="H5" t="str">
        <f t="shared" si="1"/>
        <v>Yes</v>
      </c>
      <c r="I5" t="s">
        <v>165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">
        <v>206</v>
      </c>
      <c r="W5" t="b">
        <v>1</v>
      </c>
    </row>
    <row r="6" spans="1:23" x14ac:dyDescent="0.25">
      <c r="A6" t="s">
        <v>222</v>
      </c>
      <c r="B6" t="str">
        <f t="shared" si="0"/>
        <v>Inferno</v>
      </c>
      <c r="C6" t="s">
        <v>223</v>
      </c>
      <c r="D6" t="s">
        <v>125</v>
      </c>
      <c r="E6" t="s">
        <v>125</v>
      </c>
      <c r="F6" t="s">
        <v>125</v>
      </c>
      <c r="G6" t="str">
        <f t="shared" si="2"/>
        <v>Fire|Fire|Fire</v>
      </c>
      <c r="H6" t="str">
        <f>IF(ISBLANK(F6),"",IF(COUNTIF($G$2:$G$101,G6)=1,"Yes","No"))</f>
        <v>Yes</v>
      </c>
      <c r="I6" t="s">
        <v>165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W6" t="b">
        <v>0</v>
      </c>
    </row>
    <row r="7" spans="1:23" x14ac:dyDescent="0.25">
      <c r="A7" t="s">
        <v>233</v>
      </c>
      <c r="B7" t="str">
        <f t="shared" si="0"/>
        <v>Shard</v>
      </c>
      <c r="C7" t="s">
        <v>234</v>
      </c>
      <c r="D7" t="s">
        <v>129</v>
      </c>
      <c r="E7" t="s">
        <v>129</v>
      </c>
      <c r="F7" t="s">
        <v>132</v>
      </c>
      <c r="G7" t="str">
        <f t="shared" si="2"/>
        <v>Water|Water|Air</v>
      </c>
      <c r="H7" t="str">
        <f t="shared" ref="H7:H70" si="3">IF(ISBLANK(F7),"",IF(COUNTIF($G$2:$G$101,G7)=1,"Yes","No"))</f>
        <v>Yes</v>
      </c>
    </row>
    <row r="8" spans="1:23" x14ac:dyDescent="0.25">
      <c r="A8" t="s">
        <v>253</v>
      </c>
      <c r="B8" t="str">
        <f t="shared" si="0"/>
        <v>Runic</v>
      </c>
      <c r="C8" t="s">
        <v>254</v>
      </c>
      <c r="D8" t="s">
        <v>129</v>
      </c>
      <c r="E8" t="s">
        <v>129</v>
      </c>
      <c r="F8" t="s">
        <v>129</v>
      </c>
      <c r="G8" t="str">
        <f t="shared" si="2"/>
        <v>Water|Water|Water</v>
      </c>
      <c r="H8" t="str">
        <f t="shared" si="3"/>
        <v>Yes</v>
      </c>
    </row>
    <row r="9" spans="1:23" x14ac:dyDescent="0.25">
      <c r="A9" t="s">
        <v>262</v>
      </c>
      <c r="B9" t="str">
        <f t="shared" si="0"/>
        <v>Guardian</v>
      </c>
      <c r="C9" t="s">
        <v>261</v>
      </c>
      <c r="D9" t="s">
        <v>129</v>
      </c>
      <c r="E9" t="s">
        <v>129</v>
      </c>
      <c r="F9" t="s">
        <v>136</v>
      </c>
      <c r="G9" t="str">
        <f t="shared" si="2"/>
        <v>Water|Water|Earth</v>
      </c>
      <c r="H9" t="str">
        <f t="shared" si="3"/>
        <v>Yes</v>
      </c>
    </row>
    <row r="10" spans="1:23" x14ac:dyDescent="0.25">
      <c r="A10" t="s">
        <v>259</v>
      </c>
      <c r="B10" t="str">
        <f t="shared" si="0"/>
        <v>Mend</v>
      </c>
      <c r="C10" t="s">
        <v>260</v>
      </c>
      <c r="D10" t="s">
        <v>136</v>
      </c>
      <c r="E10" t="s">
        <v>136</v>
      </c>
      <c r="F10" t="s">
        <v>129</v>
      </c>
      <c r="G10" t="str">
        <f t="shared" si="2"/>
        <v>Earth|Earth|Water</v>
      </c>
      <c r="H10" t="str">
        <f t="shared" si="3"/>
        <v>Yes</v>
      </c>
      <c r="I10" t="s">
        <v>165</v>
      </c>
    </row>
    <row r="11" spans="1:23" x14ac:dyDescent="0.25">
      <c r="A11" t="s">
        <v>263</v>
      </c>
      <c r="B11" t="str">
        <f t="shared" si="0"/>
        <v>Destroyer</v>
      </c>
      <c r="C11" t="s">
        <v>264</v>
      </c>
      <c r="D11" t="s">
        <v>125</v>
      </c>
      <c r="E11" t="s">
        <v>132</v>
      </c>
      <c r="F11" t="s">
        <v>136</v>
      </c>
      <c r="G11" t="str">
        <f t="shared" si="2"/>
        <v>Fire|Air|Earth</v>
      </c>
      <c r="H11" t="str">
        <f t="shared" si="3"/>
        <v>Yes</v>
      </c>
      <c r="I11" t="s">
        <v>169</v>
      </c>
      <c r="J11">
        <v>50</v>
      </c>
      <c r="K11">
        <v>50</v>
      </c>
    </row>
    <row r="12" spans="1:23" x14ac:dyDescent="0.25">
      <c r="B12" t="str">
        <f t="shared" si="0"/>
        <v/>
      </c>
      <c r="G12" t="str">
        <f t="shared" si="2"/>
        <v/>
      </c>
      <c r="H12" t="str">
        <f t="shared" si="3"/>
        <v/>
      </c>
    </row>
    <row r="13" spans="1:23" x14ac:dyDescent="0.25">
      <c r="B13" t="str">
        <f t="shared" si="0"/>
        <v/>
      </c>
      <c r="G13" t="str">
        <f t="shared" si="2"/>
        <v/>
      </c>
      <c r="H13" t="str">
        <f t="shared" si="3"/>
        <v/>
      </c>
    </row>
    <row r="14" spans="1:23" x14ac:dyDescent="0.25">
      <c r="B14" t="str">
        <f t="shared" si="0"/>
        <v/>
      </c>
      <c r="G14" t="str">
        <f t="shared" si="2"/>
        <v/>
      </c>
      <c r="H14" t="str">
        <f t="shared" si="3"/>
        <v/>
      </c>
    </row>
    <row r="15" spans="1:23" x14ac:dyDescent="0.25">
      <c r="B15" t="str">
        <f t="shared" si="0"/>
        <v/>
      </c>
      <c r="G15" t="str">
        <f t="shared" si="2"/>
        <v/>
      </c>
      <c r="H15" t="str">
        <f t="shared" si="3"/>
        <v/>
      </c>
    </row>
    <row r="16" spans="1:23" x14ac:dyDescent="0.25">
      <c r="B16" t="str">
        <f t="shared" si="0"/>
        <v/>
      </c>
      <c r="G16" t="str">
        <f t="shared" si="2"/>
        <v/>
      </c>
      <c r="H16" t="str">
        <f t="shared" si="3"/>
        <v/>
      </c>
    </row>
    <row r="17" spans="2:8" x14ac:dyDescent="0.25">
      <c r="B17" t="str">
        <f t="shared" si="0"/>
        <v/>
      </c>
      <c r="G17" t="str">
        <f t="shared" si="2"/>
        <v/>
      </c>
      <c r="H17" t="str">
        <f t="shared" si="3"/>
        <v/>
      </c>
    </row>
    <row r="18" spans="2:8" x14ac:dyDescent="0.25">
      <c r="B18" t="str">
        <f t="shared" si="0"/>
        <v/>
      </c>
      <c r="G18" t="str">
        <f t="shared" si="2"/>
        <v/>
      </c>
      <c r="H18" t="str">
        <f t="shared" si="3"/>
        <v/>
      </c>
    </row>
    <row r="19" spans="2:8" x14ac:dyDescent="0.25">
      <c r="B19" t="str">
        <f t="shared" si="0"/>
        <v/>
      </c>
      <c r="G19" t="str">
        <f t="shared" si="2"/>
        <v/>
      </c>
      <c r="H19" t="str">
        <f t="shared" si="3"/>
        <v/>
      </c>
    </row>
    <row r="20" spans="2:8" x14ac:dyDescent="0.25">
      <c r="B20" t="str">
        <f t="shared" si="0"/>
        <v/>
      </c>
      <c r="G20" t="str">
        <f t="shared" si="2"/>
        <v/>
      </c>
      <c r="H20" t="str">
        <f t="shared" si="3"/>
        <v/>
      </c>
    </row>
    <row r="21" spans="2:8" x14ac:dyDescent="0.25">
      <c r="B21" t="str">
        <f t="shared" si="0"/>
        <v/>
      </c>
      <c r="G21" t="str">
        <f t="shared" si="2"/>
        <v/>
      </c>
      <c r="H21" t="str">
        <f t="shared" si="3"/>
        <v/>
      </c>
    </row>
    <row r="22" spans="2:8" x14ac:dyDescent="0.25">
      <c r="B22" t="str">
        <f t="shared" si="0"/>
        <v/>
      </c>
      <c r="G22" t="str">
        <f t="shared" si="2"/>
        <v/>
      </c>
      <c r="H22" t="str">
        <f t="shared" si="3"/>
        <v/>
      </c>
    </row>
    <row r="23" spans="2:8" x14ac:dyDescent="0.25">
      <c r="B23" t="str">
        <f t="shared" si="0"/>
        <v/>
      </c>
      <c r="G23" t="str">
        <f t="shared" si="2"/>
        <v/>
      </c>
      <c r="H23" t="str">
        <f t="shared" si="3"/>
        <v/>
      </c>
    </row>
    <row r="24" spans="2:8" x14ac:dyDescent="0.25">
      <c r="B24" t="str">
        <f t="shared" si="0"/>
        <v/>
      </c>
      <c r="G24" t="str">
        <f t="shared" si="2"/>
        <v/>
      </c>
      <c r="H24" t="str">
        <f t="shared" si="3"/>
        <v/>
      </c>
    </row>
    <row r="25" spans="2:8" x14ac:dyDescent="0.25">
      <c r="B25" t="str">
        <f t="shared" si="0"/>
        <v/>
      </c>
      <c r="G25" t="str">
        <f t="shared" si="2"/>
        <v/>
      </c>
      <c r="H25" t="str">
        <f t="shared" si="3"/>
        <v/>
      </c>
    </row>
    <row r="26" spans="2:8" x14ac:dyDescent="0.25">
      <c r="B26" t="str">
        <f t="shared" si="0"/>
        <v/>
      </c>
      <c r="G26" t="str">
        <f t="shared" si="2"/>
        <v/>
      </c>
      <c r="H26" t="str">
        <f t="shared" si="3"/>
        <v/>
      </c>
    </row>
    <row r="27" spans="2:8" x14ac:dyDescent="0.25">
      <c r="B27" t="str">
        <f t="shared" ref="B27:B44" si="4">PROPER(SUBSTITUTE(A27,"_"," "))</f>
        <v/>
      </c>
      <c r="G27" t="str">
        <f t="shared" si="2"/>
        <v/>
      </c>
      <c r="H27" t="str">
        <f t="shared" si="3"/>
        <v/>
      </c>
    </row>
    <row r="28" spans="2:8" x14ac:dyDescent="0.25">
      <c r="B28" t="str">
        <f t="shared" si="4"/>
        <v/>
      </c>
      <c r="G28" t="str">
        <f t="shared" si="2"/>
        <v/>
      </c>
      <c r="H28" t="str">
        <f t="shared" si="3"/>
        <v/>
      </c>
    </row>
    <row r="29" spans="2:8" x14ac:dyDescent="0.25">
      <c r="B29" t="str">
        <f t="shared" si="4"/>
        <v/>
      </c>
      <c r="G29" t="str">
        <f t="shared" si="2"/>
        <v/>
      </c>
      <c r="H29" t="str">
        <f t="shared" si="3"/>
        <v/>
      </c>
    </row>
    <row r="30" spans="2:8" x14ac:dyDescent="0.25">
      <c r="B30" t="str">
        <f t="shared" si="4"/>
        <v/>
      </c>
      <c r="G30" t="str">
        <f t="shared" si="2"/>
        <v/>
      </c>
      <c r="H30" t="str">
        <f t="shared" si="3"/>
        <v/>
      </c>
    </row>
    <row r="31" spans="2:8" x14ac:dyDescent="0.25">
      <c r="B31" t="str">
        <f t="shared" si="4"/>
        <v/>
      </c>
      <c r="G31" t="str">
        <f t="shared" si="2"/>
        <v/>
      </c>
      <c r="H31" t="str">
        <f t="shared" si="3"/>
        <v/>
      </c>
    </row>
    <row r="32" spans="2:8" x14ac:dyDescent="0.25">
      <c r="B32" t="str">
        <f t="shared" si="4"/>
        <v/>
      </c>
      <c r="G32" t="str">
        <f t="shared" si="2"/>
        <v/>
      </c>
      <c r="H32" t="str">
        <f t="shared" si="3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3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si="3"/>
        <v/>
      </c>
    </row>
    <row r="35" spans="2:8" x14ac:dyDescent="0.25">
      <c r="B35" t="str">
        <f t="shared" si="4"/>
        <v/>
      </c>
      <c r="G35" t="str">
        <f t="shared" si="2"/>
        <v/>
      </c>
      <c r="H35" t="str">
        <f t="shared" si="3"/>
        <v/>
      </c>
    </row>
    <row r="36" spans="2:8" x14ac:dyDescent="0.25">
      <c r="B36" t="str">
        <f t="shared" si="4"/>
        <v/>
      </c>
      <c r="G36" t="str">
        <f t="shared" si="2"/>
        <v/>
      </c>
      <c r="H36" t="str">
        <f t="shared" si="3"/>
        <v/>
      </c>
    </row>
    <row r="37" spans="2:8" x14ac:dyDescent="0.25">
      <c r="B37" t="str">
        <f t="shared" si="4"/>
        <v/>
      </c>
      <c r="G37" t="str">
        <f t="shared" si="2"/>
        <v/>
      </c>
      <c r="H37" t="str">
        <f t="shared" si="3"/>
        <v/>
      </c>
    </row>
    <row r="38" spans="2:8" x14ac:dyDescent="0.25">
      <c r="B38" t="str">
        <f t="shared" si="4"/>
        <v/>
      </c>
      <c r="G38" t="str">
        <f t="shared" si="2"/>
        <v/>
      </c>
      <c r="H38" t="str">
        <f t="shared" si="3"/>
        <v/>
      </c>
    </row>
    <row r="39" spans="2:8" x14ac:dyDescent="0.25">
      <c r="B39" t="str">
        <f t="shared" si="4"/>
        <v/>
      </c>
      <c r="G39" t="str">
        <f t="shared" si="2"/>
        <v/>
      </c>
      <c r="H39" t="str">
        <f t="shared" si="3"/>
        <v/>
      </c>
    </row>
    <row r="40" spans="2:8" x14ac:dyDescent="0.25">
      <c r="B40" t="str">
        <f t="shared" si="4"/>
        <v/>
      </c>
      <c r="G40" t="str">
        <f t="shared" si="2"/>
        <v/>
      </c>
      <c r="H40" t="str">
        <f t="shared" si="3"/>
        <v/>
      </c>
    </row>
    <row r="41" spans="2:8" x14ac:dyDescent="0.25">
      <c r="B41" t="str">
        <f t="shared" si="4"/>
        <v/>
      </c>
      <c r="G41" t="str">
        <f t="shared" si="2"/>
        <v/>
      </c>
      <c r="H41" t="str">
        <f t="shared" si="3"/>
        <v/>
      </c>
    </row>
    <row r="42" spans="2:8" x14ac:dyDescent="0.25">
      <c r="B42" t="str">
        <f t="shared" si="4"/>
        <v/>
      </c>
      <c r="G42" t="str">
        <f t="shared" si="2"/>
        <v/>
      </c>
      <c r="H42" t="str">
        <f t="shared" si="3"/>
        <v/>
      </c>
    </row>
    <row r="43" spans="2:8" x14ac:dyDescent="0.25">
      <c r="B43" t="str">
        <f t="shared" si="4"/>
        <v/>
      </c>
      <c r="G43" t="str">
        <f t="shared" si="2"/>
        <v/>
      </c>
      <c r="H43" t="str">
        <f t="shared" si="3"/>
        <v/>
      </c>
    </row>
    <row r="44" spans="2:8" x14ac:dyDescent="0.25">
      <c r="B44" t="str">
        <f t="shared" si="4"/>
        <v/>
      </c>
      <c r="G44" t="str">
        <f t="shared" si="2"/>
        <v/>
      </c>
      <c r="H44" t="str">
        <f t="shared" si="3"/>
        <v/>
      </c>
    </row>
    <row r="45" spans="2:8" x14ac:dyDescent="0.25">
      <c r="G45" t="str">
        <f t="shared" si="2"/>
        <v/>
      </c>
      <c r="H45" t="str">
        <f t="shared" si="3"/>
        <v/>
      </c>
    </row>
    <row r="46" spans="2:8" x14ac:dyDescent="0.25">
      <c r="G46" t="str">
        <f t="shared" si="2"/>
        <v/>
      </c>
      <c r="H46" t="str">
        <f t="shared" si="3"/>
        <v/>
      </c>
    </row>
    <row r="47" spans="2:8" x14ac:dyDescent="0.25">
      <c r="G47" t="str">
        <f t="shared" si="2"/>
        <v/>
      </c>
      <c r="H47" t="str">
        <f t="shared" si="3"/>
        <v/>
      </c>
    </row>
    <row r="48" spans="2:8" x14ac:dyDescent="0.25">
      <c r="G48" t="str">
        <f t="shared" si="2"/>
        <v/>
      </c>
      <c r="H48" t="str">
        <f t="shared" si="3"/>
        <v/>
      </c>
    </row>
    <row r="49" spans="7:8" x14ac:dyDescent="0.25">
      <c r="G49" t="str">
        <f t="shared" si="2"/>
        <v/>
      </c>
      <c r="H49" t="str">
        <f t="shared" si="3"/>
        <v/>
      </c>
    </row>
    <row r="50" spans="7:8" x14ac:dyDescent="0.25">
      <c r="G50" t="str">
        <f t="shared" si="2"/>
        <v/>
      </c>
      <c r="H50" t="str">
        <f t="shared" si="3"/>
        <v/>
      </c>
    </row>
    <row r="51" spans="7:8" x14ac:dyDescent="0.25">
      <c r="G51" t="str">
        <f t="shared" si="2"/>
        <v/>
      </c>
      <c r="H51" t="str">
        <f t="shared" si="3"/>
        <v/>
      </c>
    </row>
    <row r="52" spans="7:8" x14ac:dyDescent="0.25">
      <c r="G52" t="str">
        <f t="shared" si="2"/>
        <v/>
      </c>
      <c r="H52" t="str">
        <f t="shared" si="3"/>
        <v/>
      </c>
    </row>
    <row r="53" spans="7:8" x14ac:dyDescent="0.25">
      <c r="G53" t="str">
        <f t="shared" si="2"/>
        <v/>
      </c>
      <c r="H53" t="str">
        <f t="shared" si="3"/>
        <v/>
      </c>
    </row>
    <row r="54" spans="7:8" x14ac:dyDescent="0.25">
      <c r="G54" t="str">
        <f t="shared" si="2"/>
        <v/>
      </c>
      <c r="H54" t="str">
        <f t="shared" si="3"/>
        <v/>
      </c>
    </row>
    <row r="55" spans="7:8" x14ac:dyDescent="0.25">
      <c r="G55" t="str">
        <f t="shared" si="2"/>
        <v/>
      </c>
      <c r="H55" t="str">
        <f t="shared" si="3"/>
        <v/>
      </c>
    </row>
    <row r="56" spans="7:8" x14ac:dyDescent="0.25">
      <c r="G56" t="str">
        <f t="shared" si="2"/>
        <v/>
      </c>
      <c r="H56" t="str">
        <f t="shared" si="3"/>
        <v/>
      </c>
    </row>
    <row r="57" spans="7:8" x14ac:dyDescent="0.25">
      <c r="G57" t="str">
        <f t="shared" si="2"/>
        <v/>
      </c>
      <c r="H57" t="str">
        <f t="shared" si="3"/>
        <v/>
      </c>
    </row>
    <row r="58" spans="7:8" x14ac:dyDescent="0.25">
      <c r="G58" t="str">
        <f t="shared" si="2"/>
        <v/>
      </c>
      <c r="H58" t="str">
        <f t="shared" si="3"/>
        <v/>
      </c>
    </row>
    <row r="59" spans="7:8" x14ac:dyDescent="0.25">
      <c r="G59" t="str">
        <f t="shared" si="2"/>
        <v/>
      </c>
      <c r="H59" t="str">
        <f t="shared" si="3"/>
        <v/>
      </c>
    </row>
    <row r="60" spans="7:8" x14ac:dyDescent="0.25">
      <c r="G60" t="str">
        <f t="shared" si="2"/>
        <v/>
      </c>
      <c r="H60" t="str">
        <f t="shared" si="3"/>
        <v/>
      </c>
    </row>
    <row r="61" spans="7:8" x14ac:dyDescent="0.25">
      <c r="G61" t="str">
        <f t="shared" si="2"/>
        <v/>
      </c>
      <c r="H61" t="str">
        <f t="shared" si="3"/>
        <v/>
      </c>
    </row>
    <row r="62" spans="7:8" x14ac:dyDescent="0.25">
      <c r="G62" t="str">
        <f t="shared" si="2"/>
        <v/>
      </c>
      <c r="H62" t="str">
        <f t="shared" si="3"/>
        <v/>
      </c>
    </row>
    <row r="63" spans="7:8" x14ac:dyDescent="0.25">
      <c r="G63" t="str">
        <f t="shared" si="2"/>
        <v/>
      </c>
      <c r="H63" t="str">
        <f t="shared" si="3"/>
        <v/>
      </c>
    </row>
    <row r="64" spans="7:8" x14ac:dyDescent="0.25">
      <c r="G64" t="str">
        <f t="shared" si="2"/>
        <v/>
      </c>
      <c r="H64" t="str">
        <f t="shared" si="3"/>
        <v/>
      </c>
    </row>
    <row r="65" spans="7:8" x14ac:dyDescent="0.25">
      <c r="G65" t="str">
        <f t="shared" si="2"/>
        <v/>
      </c>
      <c r="H65" t="str">
        <f t="shared" si="3"/>
        <v/>
      </c>
    </row>
    <row r="66" spans="7:8" x14ac:dyDescent="0.25">
      <c r="G66" t="str">
        <f t="shared" si="2"/>
        <v/>
      </c>
      <c r="H66" t="str">
        <f t="shared" si="3"/>
        <v/>
      </c>
    </row>
    <row r="67" spans="7:8" x14ac:dyDescent="0.25">
      <c r="G67" t="str">
        <f t="shared" si="2"/>
        <v/>
      </c>
      <c r="H67" t="str">
        <f t="shared" si="3"/>
        <v/>
      </c>
    </row>
    <row r="68" spans="7:8" x14ac:dyDescent="0.25">
      <c r="G68" t="str">
        <f t="shared" ref="G68:G98" si="5">_xlfn.TEXTJOIN("|",TRUE,_xlfn._xlws.SORT(D68:F68))</f>
        <v/>
      </c>
      <c r="H68" t="str">
        <f t="shared" si="3"/>
        <v/>
      </c>
    </row>
    <row r="69" spans="7:8" x14ac:dyDescent="0.25">
      <c r="G69" t="str">
        <f t="shared" si="5"/>
        <v/>
      </c>
      <c r="H69" t="str">
        <f t="shared" si="3"/>
        <v/>
      </c>
    </row>
    <row r="70" spans="7:8" x14ac:dyDescent="0.25">
      <c r="G70" t="str">
        <f t="shared" si="5"/>
        <v/>
      </c>
      <c r="H70" t="str">
        <f t="shared" si="3"/>
        <v/>
      </c>
    </row>
    <row r="71" spans="7:8" x14ac:dyDescent="0.25">
      <c r="G71" t="str">
        <f t="shared" si="5"/>
        <v/>
      </c>
      <c r="H71" t="str">
        <f t="shared" ref="H71:H98" si="6">IF(ISBLANK(F71),"",IF(COUNTIF($G$2:$G$101,G71)=1,"Yes","No"))</f>
        <v/>
      </c>
    </row>
    <row r="72" spans="7:8" x14ac:dyDescent="0.25">
      <c r="G72" t="str">
        <f t="shared" si="5"/>
        <v/>
      </c>
      <c r="H72" t="str">
        <f t="shared" si="6"/>
        <v/>
      </c>
    </row>
    <row r="73" spans="7:8" x14ac:dyDescent="0.25">
      <c r="G73" t="str">
        <f t="shared" si="5"/>
        <v/>
      </c>
      <c r="H73" t="str">
        <f t="shared" si="6"/>
        <v/>
      </c>
    </row>
    <row r="74" spans="7:8" x14ac:dyDescent="0.25">
      <c r="G74" t="str">
        <f t="shared" si="5"/>
        <v/>
      </c>
      <c r="H74" t="str">
        <f t="shared" si="6"/>
        <v/>
      </c>
    </row>
    <row r="75" spans="7:8" x14ac:dyDescent="0.25">
      <c r="G75" t="str">
        <f t="shared" si="5"/>
        <v/>
      </c>
      <c r="H75" t="str">
        <f t="shared" si="6"/>
        <v/>
      </c>
    </row>
    <row r="76" spans="7:8" x14ac:dyDescent="0.25">
      <c r="G76" t="str">
        <f t="shared" si="5"/>
        <v/>
      </c>
      <c r="H76" t="str">
        <f t="shared" si="6"/>
        <v/>
      </c>
    </row>
    <row r="77" spans="7:8" x14ac:dyDescent="0.25">
      <c r="G77" t="str">
        <f t="shared" si="5"/>
        <v/>
      </c>
      <c r="H77" t="str">
        <f t="shared" si="6"/>
        <v/>
      </c>
    </row>
    <row r="78" spans="7:8" x14ac:dyDescent="0.25">
      <c r="G78" t="str">
        <f t="shared" si="5"/>
        <v/>
      </c>
      <c r="H78" t="str">
        <f t="shared" si="6"/>
        <v/>
      </c>
    </row>
    <row r="79" spans="7:8" x14ac:dyDescent="0.25">
      <c r="G79" t="str">
        <f t="shared" si="5"/>
        <v/>
      </c>
      <c r="H79" t="str">
        <f t="shared" si="6"/>
        <v/>
      </c>
    </row>
    <row r="80" spans="7:8" x14ac:dyDescent="0.25">
      <c r="G80" t="str">
        <f t="shared" si="5"/>
        <v/>
      </c>
      <c r="H80" t="str">
        <f t="shared" si="6"/>
        <v/>
      </c>
    </row>
    <row r="81" spans="7:8" x14ac:dyDescent="0.25">
      <c r="G81" t="str">
        <f t="shared" si="5"/>
        <v/>
      </c>
      <c r="H81" t="str">
        <f t="shared" si="6"/>
        <v/>
      </c>
    </row>
    <row r="82" spans="7:8" x14ac:dyDescent="0.25">
      <c r="G82" t="str">
        <f t="shared" si="5"/>
        <v/>
      </c>
      <c r="H82" t="str">
        <f t="shared" si="6"/>
        <v/>
      </c>
    </row>
    <row r="83" spans="7:8" x14ac:dyDescent="0.25">
      <c r="G83" t="str">
        <f t="shared" si="5"/>
        <v/>
      </c>
      <c r="H83" t="str">
        <f t="shared" si="6"/>
        <v/>
      </c>
    </row>
    <row r="84" spans="7:8" x14ac:dyDescent="0.25">
      <c r="G84" t="str">
        <f t="shared" si="5"/>
        <v/>
      </c>
      <c r="H84" t="str">
        <f t="shared" si="6"/>
        <v/>
      </c>
    </row>
    <row r="85" spans="7:8" x14ac:dyDescent="0.25">
      <c r="G85" t="str">
        <f t="shared" si="5"/>
        <v/>
      </c>
      <c r="H85" t="str">
        <f t="shared" si="6"/>
        <v/>
      </c>
    </row>
    <row r="86" spans="7:8" x14ac:dyDescent="0.25">
      <c r="G86" t="str">
        <f t="shared" si="5"/>
        <v/>
      </c>
      <c r="H86" t="str">
        <f t="shared" si="6"/>
        <v/>
      </c>
    </row>
    <row r="87" spans="7:8" x14ac:dyDescent="0.25">
      <c r="G87" t="str">
        <f t="shared" si="5"/>
        <v/>
      </c>
      <c r="H87" t="str">
        <f t="shared" si="6"/>
        <v/>
      </c>
    </row>
    <row r="88" spans="7:8" x14ac:dyDescent="0.25">
      <c r="G88" t="str">
        <f t="shared" si="5"/>
        <v/>
      </c>
      <c r="H88" t="str">
        <f t="shared" si="6"/>
        <v/>
      </c>
    </row>
    <row r="89" spans="7:8" x14ac:dyDescent="0.25">
      <c r="G89" t="str">
        <f t="shared" si="5"/>
        <v/>
      </c>
      <c r="H89" t="str">
        <f t="shared" si="6"/>
        <v/>
      </c>
    </row>
    <row r="90" spans="7:8" x14ac:dyDescent="0.25">
      <c r="G90" t="str">
        <f t="shared" si="5"/>
        <v/>
      </c>
      <c r="H90" t="str">
        <f t="shared" si="6"/>
        <v/>
      </c>
    </row>
    <row r="91" spans="7:8" x14ac:dyDescent="0.25">
      <c r="G91" t="str">
        <f t="shared" si="5"/>
        <v/>
      </c>
      <c r="H91" t="str">
        <f t="shared" si="6"/>
        <v/>
      </c>
    </row>
    <row r="92" spans="7:8" x14ac:dyDescent="0.25">
      <c r="G92" t="str">
        <f t="shared" si="5"/>
        <v/>
      </c>
      <c r="H92" t="str">
        <f t="shared" si="6"/>
        <v/>
      </c>
    </row>
    <row r="93" spans="7:8" x14ac:dyDescent="0.25">
      <c r="G93" t="str">
        <f t="shared" si="5"/>
        <v/>
      </c>
      <c r="H93" t="str">
        <f t="shared" si="6"/>
        <v/>
      </c>
    </row>
    <row r="94" spans="7:8" x14ac:dyDescent="0.25">
      <c r="G94" t="str">
        <f t="shared" si="5"/>
        <v/>
      </c>
      <c r="H94" t="str">
        <f t="shared" si="6"/>
        <v/>
      </c>
    </row>
    <row r="95" spans="7:8" x14ac:dyDescent="0.25">
      <c r="G95" t="str">
        <f t="shared" si="5"/>
        <v/>
      </c>
      <c r="H95" t="str">
        <f t="shared" si="6"/>
        <v/>
      </c>
    </row>
    <row r="96" spans="7:8" x14ac:dyDescent="0.25">
      <c r="G96" t="str">
        <f t="shared" si="5"/>
        <v/>
      </c>
      <c r="H96" t="str">
        <f t="shared" si="6"/>
        <v/>
      </c>
    </row>
    <row r="97" spans="7:8" x14ac:dyDescent="0.25">
      <c r="G97" t="str">
        <f t="shared" si="5"/>
        <v/>
      </c>
      <c r="H97" t="str">
        <f t="shared" si="6"/>
        <v/>
      </c>
    </row>
    <row r="98" spans="7:8" x14ac:dyDescent="0.25">
      <c r="G98" t="str">
        <f t="shared" si="5"/>
        <v/>
      </c>
      <c r="H98" t="str">
        <f t="shared" si="6"/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FC42C69-7304-40C7-BA02-8A3EB2712138}">
          <x14:formula1>
            <xm:f>motion!$A$2:$A$30</xm:f>
          </x14:formula1>
          <xm:sqref>I2:I50</xm:sqref>
        </x14:dataValidation>
        <x14:dataValidation type="list" allowBlank="1" showInputMessage="1" showErrorMessage="1" xr:uid="{E5B318B9-C4FE-4359-9562-7862AB8A9B76}">
          <x14:formula1>
            <xm:f>input!$C$2:$F$2</xm:f>
          </x14:formula1>
          <xm:sqref>D2:F99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I13"/>
  <sheetViews>
    <sheetView workbookViewId="0">
      <selection activeCell="C6" sqref="C6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2</v>
      </c>
      <c r="D1" s="4" t="s">
        <v>152</v>
      </c>
      <c r="E1" s="4" t="s">
        <v>207</v>
      </c>
      <c r="F1" s="4" t="s">
        <v>139</v>
      </c>
      <c r="G1" s="4" t="s">
        <v>140</v>
      </c>
      <c r="H1" s="4" t="s">
        <v>141</v>
      </c>
      <c r="I1" s="4" t="s">
        <v>109</v>
      </c>
    </row>
    <row r="2" spans="1:9" x14ac:dyDescent="0.25">
      <c r="A2" t="s">
        <v>142</v>
      </c>
      <c r="B2" t="str">
        <f>PROPER(A2)</f>
        <v>Coal</v>
      </c>
      <c r="C2" t="s">
        <v>124</v>
      </c>
      <c r="D2" t="s">
        <v>125</v>
      </c>
      <c r="E2" t="s">
        <v>161</v>
      </c>
      <c r="F2">
        <v>1</v>
      </c>
      <c r="G2">
        <v>2</v>
      </c>
      <c r="H2">
        <v>3</v>
      </c>
      <c r="I2" t="str">
        <f>"res://items/glyphs/"&amp;A2&amp;"_glyph.png"</f>
        <v>res://items/glyphs/coal_glyph.png</v>
      </c>
    </row>
    <row r="3" spans="1:9" x14ac:dyDescent="0.25">
      <c r="A3" t="s">
        <v>143</v>
      </c>
      <c r="B3" t="str">
        <f t="shared" ref="B3:B13" si="0">PROPER(A3)</f>
        <v>Fury</v>
      </c>
      <c r="C3" t="s">
        <v>126</v>
      </c>
      <c r="D3" t="s">
        <v>125</v>
      </c>
      <c r="E3" t="s">
        <v>154</v>
      </c>
      <c r="F3">
        <v>5</v>
      </c>
      <c r="G3">
        <v>10</v>
      </c>
      <c r="H3">
        <v>15</v>
      </c>
      <c r="I3" t="str">
        <f t="shared" ref="I3:I13" si="1">"res://items/glyphs/"&amp;A3&amp;"_glyph.png"</f>
        <v>res://items/glyphs/fury_glyph.png</v>
      </c>
    </row>
    <row r="4" spans="1:9" x14ac:dyDescent="0.25">
      <c r="A4" t="s">
        <v>144</v>
      </c>
      <c r="B4" t="str">
        <f t="shared" si="0"/>
        <v>Blast</v>
      </c>
      <c r="C4" t="s">
        <v>127</v>
      </c>
      <c r="D4" t="s">
        <v>125</v>
      </c>
      <c r="E4" t="s">
        <v>156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145</v>
      </c>
      <c r="B5" t="str">
        <f t="shared" si="0"/>
        <v>Rime</v>
      </c>
      <c r="C5" t="s">
        <v>128</v>
      </c>
      <c r="D5" t="s">
        <v>129</v>
      </c>
      <c r="E5" t="s">
        <v>162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232</v>
      </c>
      <c r="B6" t="str">
        <f t="shared" si="0"/>
        <v>Sooth</v>
      </c>
      <c r="C6" t="s">
        <v>130</v>
      </c>
      <c r="D6" t="s">
        <v>129</v>
      </c>
      <c r="E6" t="s">
        <v>155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146</v>
      </c>
      <c r="B7" t="str">
        <f t="shared" si="0"/>
        <v>Bounty</v>
      </c>
      <c r="C7" t="s">
        <v>209</v>
      </c>
      <c r="D7" t="s">
        <v>129</v>
      </c>
      <c r="E7" t="s">
        <v>208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147</v>
      </c>
      <c r="B8" t="str">
        <f t="shared" si="0"/>
        <v>Static</v>
      </c>
      <c r="C8" t="s">
        <v>131</v>
      </c>
      <c r="D8" t="s">
        <v>132</v>
      </c>
      <c r="E8" t="s">
        <v>163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153</v>
      </c>
      <c r="B9" t="str">
        <f t="shared" si="0"/>
        <v>Shear</v>
      </c>
      <c r="C9" t="s">
        <v>133</v>
      </c>
      <c r="D9" t="s">
        <v>132</v>
      </c>
      <c r="E9" t="s">
        <v>159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148</v>
      </c>
      <c r="B10" t="str">
        <f t="shared" si="0"/>
        <v>Drag</v>
      </c>
      <c r="C10" t="s">
        <v>134</v>
      </c>
      <c r="D10" t="s">
        <v>132</v>
      </c>
      <c r="E10" t="s">
        <v>157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149</v>
      </c>
      <c r="B11" t="str">
        <f t="shared" si="0"/>
        <v>Blight</v>
      </c>
      <c r="C11" t="s">
        <v>135</v>
      </c>
      <c r="D11" t="s">
        <v>136</v>
      </c>
      <c r="E11" t="s">
        <v>164</v>
      </c>
      <c r="F11">
        <v>1</v>
      </c>
      <c r="G11">
        <v>2</v>
      </c>
      <c r="H11">
        <v>3</v>
      </c>
      <c r="I11" t="str">
        <f t="shared" si="1"/>
        <v>res://items/glyphs/blight_glyph.png</v>
      </c>
    </row>
    <row r="12" spans="1:9" x14ac:dyDescent="0.25">
      <c r="A12" t="s">
        <v>150</v>
      </c>
      <c r="B12" t="str">
        <f t="shared" si="0"/>
        <v>Dense</v>
      </c>
      <c r="C12" t="s">
        <v>137</v>
      </c>
      <c r="D12" t="s">
        <v>136</v>
      </c>
      <c r="E12" t="s">
        <v>158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151</v>
      </c>
      <c r="B13" t="str">
        <f t="shared" si="0"/>
        <v>Crush</v>
      </c>
      <c r="C13" t="s">
        <v>138</v>
      </c>
      <c r="D13" t="s">
        <v>136</v>
      </c>
      <c r="E13" t="s">
        <v>160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1687E-9087-4AF4-BB85-417F5711F916}">
  <sheetPr>
    <tabColor theme="5" tint="0.59999389629810485"/>
  </sheetPr>
  <dimension ref="A1:I106"/>
  <sheetViews>
    <sheetView workbookViewId="0">
      <selection activeCell="D15" sqref="D15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94.140625" bestFit="1" customWidth="1"/>
    <col min="5" max="7" width="10.5703125" bestFit="1" customWidth="1"/>
    <col min="8" max="8" width="0" hidden="1" customWidth="1"/>
  </cols>
  <sheetData>
    <row r="1" spans="1:9" x14ac:dyDescent="0.25">
      <c r="A1" s="4" t="s">
        <v>0</v>
      </c>
      <c r="B1" s="4" t="s">
        <v>1</v>
      </c>
      <c r="C1" s="4" t="s">
        <v>216</v>
      </c>
      <c r="D1" s="4" t="s">
        <v>2</v>
      </c>
      <c r="E1" s="4" t="s">
        <v>211</v>
      </c>
      <c r="F1" s="4" t="s">
        <v>212</v>
      </c>
      <c r="G1" s="4" t="s">
        <v>213</v>
      </c>
      <c r="I1" s="4" t="s">
        <v>14</v>
      </c>
    </row>
    <row r="2" spans="1:9" x14ac:dyDescent="0.25">
      <c r="A2" t="s">
        <v>215</v>
      </c>
      <c r="B2" t="str">
        <f t="shared" ref="B2:B4" si="0">PROPER(SUBSTITUTE(A2,"_"," "))</f>
        <v>Haunt</v>
      </c>
      <c r="C2" t="s">
        <v>200</v>
      </c>
      <c r="D2" t="s">
        <v>220</v>
      </c>
      <c r="E2" t="s">
        <v>132</v>
      </c>
      <c r="F2" t="s">
        <v>132</v>
      </c>
      <c r="G2" t="s">
        <v>129</v>
      </c>
      <c r="H2" t="str">
        <f>_xlfn.TEXTJOIN("|",TRUE,_xlfn._xlws.SORT(E2:G2))</f>
        <v>Air|Air|Water</v>
      </c>
      <c r="I2" t="b">
        <v>0</v>
      </c>
    </row>
    <row r="3" spans="1:9" x14ac:dyDescent="0.25">
      <c r="A3" t="s">
        <v>218</v>
      </c>
      <c r="B3" t="str">
        <f t="shared" si="0"/>
        <v>Possesion</v>
      </c>
      <c r="C3" t="s">
        <v>200</v>
      </c>
      <c r="D3" t="s">
        <v>221</v>
      </c>
      <c r="E3" t="s">
        <v>125</v>
      </c>
      <c r="F3" t="s">
        <v>125</v>
      </c>
      <c r="G3" t="s">
        <v>132</v>
      </c>
      <c r="H3" t="str">
        <f t="shared" ref="H3:H66" si="1">_xlfn.TEXTJOIN("|",TRUE,_xlfn._xlws.SORT(E3:G3))</f>
        <v>Fire|Fire|Air</v>
      </c>
      <c r="I3" t="b">
        <v>0</v>
      </c>
    </row>
    <row r="4" spans="1:9" x14ac:dyDescent="0.25">
      <c r="A4" t="s">
        <v>224</v>
      </c>
      <c r="B4" t="str">
        <f t="shared" si="0"/>
        <v>Trail</v>
      </c>
      <c r="C4" t="s">
        <v>222</v>
      </c>
      <c r="D4" t="s">
        <v>225</v>
      </c>
      <c r="E4" t="s">
        <v>125</v>
      </c>
      <c r="F4" t="s">
        <v>125</v>
      </c>
      <c r="G4" t="s">
        <v>136</v>
      </c>
      <c r="H4" t="str">
        <f t="shared" si="1"/>
        <v>Fire|Fire|Earth</v>
      </c>
      <c r="I4" t="b">
        <v>0</v>
      </c>
    </row>
    <row r="5" spans="1:9" x14ac:dyDescent="0.25">
      <c r="A5" t="s">
        <v>226</v>
      </c>
      <c r="B5" t="str">
        <f t="shared" ref="B5:B20" si="2">PROPER(SUBSTITUTE(A5,"_"," "))</f>
        <v>Kindling</v>
      </c>
      <c r="C5" t="s">
        <v>222</v>
      </c>
      <c r="D5" t="s">
        <v>227</v>
      </c>
      <c r="E5" t="s">
        <v>132</v>
      </c>
      <c r="F5" t="s">
        <v>132</v>
      </c>
      <c r="G5" t="s">
        <v>125</v>
      </c>
      <c r="H5" t="str">
        <f t="shared" si="1"/>
        <v>Air|Air|Fire</v>
      </c>
      <c r="I5" t="b">
        <v>0</v>
      </c>
    </row>
    <row r="6" spans="1:9" x14ac:dyDescent="0.25">
      <c r="A6" t="s">
        <v>229</v>
      </c>
      <c r="B6" t="str">
        <f t="shared" si="2"/>
        <v>Spark</v>
      </c>
      <c r="C6" t="s">
        <v>222</v>
      </c>
      <c r="D6" t="s">
        <v>228</v>
      </c>
      <c r="E6" t="s">
        <v>125</v>
      </c>
      <c r="F6" t="s">
        <v>125</v>
      </c>
      <c r="G6" t="s">
        <v>125</v>
      </c>
      <c r="H6" t="str">
        <f t="shared" si="1"/>
        <v>Fire|Fire|Fire</v>
      </c>
      <c r="I6" t="b">
        <v>0</v>
      </c>
    </row>
    <row r="7" spans="1:9" x14ac:dyDescent="0.25">
      <c r="A7" t="s">
        <v>244</v>
      </c>
      <c r="B7" t="str">
        <f t="shared" si="2"/>
        <v>Chain</v>
      </c>
      <c r="C7" t="s">
        <v>199</v>
      </c>
      <c r="D7" t="s">
        <v>235</v>
      </c>
      <c r="E7" t="s">
        <v>129</v>
      </c>
      <c r="F7" t="s">
        <v>132</v>
      </c>
      <c r="G7" t="s">
        <v>125</v>
      </c>
      <c r="H7" t="str">
        <f t="shared" si="1"/>
        <v>Water|Air|Fire</v>
      </c>
    </row>
    <row r="8" spans="1:9" x14ac:dyDescent="0.25">
      <c r="A8" t="s">
        <v>245</v>
      </c>
      <c r="B8" t="str">
        <f t="shared" si="2"/>
        <v>Conductor</v>
      </c>
      <c r="C8" t="s">
        <v>199</v>
      </c>
      <c r="D8" t="s">
        <v>236</v>
      </c>
      <c r="E8" t="s">
        <v>132</v>
      </c>
      <c r="F8" t="s">
        <v>129</v>
      </c>
      <c r="G8" t="s">
        <v>129</v>
      </c>
      <c r="H8" t="str">
        <f t="shared" si="1"/>
        <v>Air|Water|Water</v>
      </c>
    </row>
    <row r="9" spans="1:9" x14ac:dyDescent="0.25">
      <c r="A9" t="s">
        <v>246</v>
      </c>
      <c r="B9" t="str">
        <f t="shared" si="2"/>
        <v>Reach</v>
      </c>
      <c r="C9" t="s">
        <v>199</v>
      </c>
      <c r="D9" t="s">
        <v>237</v>
      </c>
      <c r="E9" t="s">
        <v>132</v>
      </c>
      <c r="F9" t="s">
        <v>136</v>
      </c>
      <c r="G9" t="s">
        <v>136</v>
      </c>
      <c r="H9" t="str">
        <f t="shared" si="1"/>
        <v>Air|Earth|Earth</v>
      </c>
    </row>
    <row r="10" spans="1:9" x14ac:dyDescent="0.25">
      <c r="A10" t="s">
        <v>242</v>
      </c>
      <c r="B10" t="str">
        <f t="shared" si="2"/>
        <v>Splinter</v>
      </c>
      <c r="C10" t="s">
        <v>233</v>
      </c>
      <c r="D10" t="s">
        <v>238</v>
      </c>
      <c r="H10" t="str">
        <f t="shared" si="1"/>
        <v/>
      </c>
    </row>
    <row r="11" spans="1:9" x14ac:dyDescent="0.25">
      <c r="A11" t="s">
        <v>243</v>
      </c>
      <c r="B11" t="str">
        <f t="shared" si="2"/>
        <v>Lethal</v>
      </c>
      <c r="C11" t="s">
        <v>233</v>
      </c>
      <c r="D11" t="s">
        <v>239</v>
      </c>
      <c r="H11" t="str">
        <f t="shared" si="1"/>
        <v/>
      </c>
    </row>
    <row r="12" spans="1:9" x14ac:dyDescent="0.25">
      <c r="A12" t="s">
        <v>241</v>
      </c>
      <c r="B12" t="str">
        <f t="shared" si="2"/>
        <v>Shatter</v>
      </c>
      <c r="C12" t="s">
        <v>233</v>
      </c>
      <c r="D12" t="s">
        <v>240</v>
      </c>
      <c r="H12" t="str">
        <f t="shared" si="1"/>
        <v/>
      </c>
    </row>
    <row r="13" spans="1:9" x14ac:dyDescent="0.25">
      <c r="A13" t="s">
        <v>251</v>
      </c>
      <c r="B13" t="str">
        <f t="shared" si="2"/>
        <v>Carrion</v>
      </c>
      <c r="C13" t="s">
        <v>247</v>
      </c>
      <c r="D13" t="s">
        <v>248</v>
      </c>
      <c r="H13" t="str">
        <f t="shared" si="1"/>
        <v/>
      </c>
    </row>
    <row r="14" spans="1:9" x14ac:dyDescent="0.25">
      <c r="A14" t="s">
        <v>252</v>
      </c>
      <c r="B14" t="str">
        <f t="shared" si="2"/>
        <v>Outbreak</v>
      </c>
      <c r="C14" t="s">
        <v>247</v>
      </c>
      <c r="D14" t="s">
        <v>274</v>
      </c>
      <c r="H14" t="str">
        <f t="shared" si="1"/>
        <v/>
      </c>
    </row>
    <row r="15" spans="1:9" x14ac:dyDescent="0.25">
      <c r="A15" t="s">
        <v>250</v>
      </c>
      <c r="B15" t="str">
        <f t="shared" si="2"/>
        <v>Virulence</v>
      </c>
      <c r="C15" t="s">
        <v>247</v>
      </c>
      <c r="D15" t="s">
        <v>249</v>
      </c>
      <c r="H15" t="str">
        <f t="shared" si="1"/>
        <v/>
      </c>
    </row>
    <row r="16" spans="1:9" x14ac:dyDescent="0.25">
      <c r="A16" t="s">
        <v>255</v>
      </c>
      <c r="B16" t="str">
        <f t="shared" si="2"/>
        <v>Improve</v>
      </c>
      <c r="C16" t="s">
        <v>253</v>
      </c>
      <c r="D16" t="s">
        <v>256</v>
      </c>
      <c r="E16" t="s">
        <v>129</v>
      </c>
      <c r="F16" t="s">
        <v>129</v>
      </c>
      <c r="G16" t="s">
        <v>136</v>
      </c>
      <c r="H16" t="str">
        <f t="shared" si="1"/>
        <v>Water|Water|Earth</v>
      </c>
    </row>
    <row r="17" spans="1:8" x14ac:dyDescent="0.25">
      <c r="A17" t="s">
        <v>258</v>
      </c>
      <c r="B17" t="str">
        <f t="shared" si="2"/>
        <v>Hoarder</v>
      </c>
      <c r="C17" t="s">
        <v>253</v>
      </c>
      <c r="D17" t="s">
        <v>257</v>
      </c>
      <c r="E17" t="s">
        <v>125</v>
      </c>
      <c r="F17" t="s">
        <v>125</v>
      </c>
      <c r="G17" t="s">
        <v>125</v>
      </c>
      <c r="H17" t="str">
        <f t="shared" si="1"/>
        <v>Fire|Fire|Fire</v>
      </c>
    </row>
    <row r="18" spans="1:8" x14ac:dyDescent="0.25">
      <c r="A18" t="s">
        <v>266</v>
      </c>
      <c r="B18" t="str">
        <f t="shared" si="2"/>
        <v>Affinity</v>
      </c>
      <c r="C18" t="s">
        <v>253</v>
      </c>
      <c r="D18" t="s">
        <v>265</v>
      </c>
      <c r="E18" t="s">
        <v>136</v>
      </c>
      <c r="F18" t="s">
        <v>136</v>
      </c>
      <c r="G18" t="s">
        <v>125</v>
      </c>
      <c r="H18" t="str">
        <f t="shared" si="1"/>
        <v>Earth|Earth|Fire</v>
      </c>
    </row>
    <row r="19" spans="1:8" x14ac:dyDescent="0.25">
      <c r="A19" t="s">
        <v>268</v>
      </c>
      <c r="B19" t="str">
        <f t="shared" si="2"/>
        <v>Retribution</v>
      </c>
      <c r="C19" t="s">
        <v>262</v>
      </c>
      <c r="D19" t="s">
        <v>267</v>
      </c>
      <c r="E19" t="s">
        <v>125</v>
      </c>
      <c r="F19" t="s">
        <v>125</v>
      </c>
      <c r="G19" t="s">
        <v>136</v>
      </c>
      <c r="H19" t="str">
        <f t="shared" si="1"/>
        <v>Fire|Fire|Earth</v>
      </c>
    </row>
    <row r="20" spans="1:8" x14ac:dyDescent="0.25">
      <c r="A20" t="s">
        <v>272</v>
      </c>
      <c r="B20" t="str">
        <f t="shared" si="2"/>
        <v>Flexible</v>
      </c>
      <c r="C20" t="s">
        <v>262</v>
      </c>
      <c r="D20" t="s">
        <v>271</v>
      </c>
      <c r="E20" t="s">
        <v>132</v>
      </c>
      <c r="F20" t="s">
        <v>132</v>
      </c>
      <c r="G20" t="s">
        <v>129</v>
      </c>
      <c r="H20" t="str">
        <f t="shared" si="1"/>
        <v>Air|Air|Water</v>
      </c>
    </row>
    <row r="21" spans="1:8" x14ac:dyDescent="0.25">
      <c r="A21" t="s">
        <v>270</v>
      </c>
      <c r="C21" t="s">
        <v>262</v>
      </c>
      <c r="D21" t="s">
        <v>269</v>
      </c>
      <c r="H21" t="str">
        <f t="shared" si="1"/>
        <v/>
      </c>
    </row>
    <row r="22" spans="1:8" x14ac:dyDescent="0.25">
      <c r="H22" t="str">
        <f t="shared" si="1"/>
        <v/>
      </c>
    </row>
    <row r="23" spans="1:8" x14ac:dyDescent="0.25">
      <c r="H23" t="str">
        <f t="shared" si="1"/>
        <v/>
      </c>
    </row>
    <row r="24" spans="1:8" x14ac:dyDescent="0.25">
      <c r="H24" t="str">
        <f t="shared" si="1"/>
        <v/>
      </c>
    </row>
    <row r="25" spans="1:8" x14ac:dyDescent="0.25">
      <c r="H25" t="str">
        <f t="shared" si="1"/>
        <v/>
      </c>
    </row>
    <row r="26" spans="1:8" x14ac:dyDescent="0.25">
      <c r="H26" t="str">
        <f t="shared" si="1"/>
        <v/>
      </c>
    </row>
    <row r="27" spans="1:8" x14ac:dyDescent="0.25">
      <c r="H27" t="str">
        <f t="shared" si="1"/>
        <v/>
      </c>
    </row>
    <row r="28" spans="1:8" x14ac:dyDescent="0.25">
      <c r="H28" t="str">
        <f t="shared" si="1"/>
        <v/>
      </c>
    </row>
    <row r="29" spans="1:8" x14ac:dyDescent="0.25">
      <c r="H29" t="str">
        <f t="shared" si="1"/>
        <v/>
      </c>
    </row>
    <row r="30" spans="1:8" x14ac:dyDescent="0.25">
      <c r="H30" t="str">
        <f t="shared" si="1"/>
        <v/>
      </c>
    </row>
    <row r="31" spans="1:8" x14ac:dyDescent="0.25">
      <c r="H31" t="str">
        <f t="shared" si="1"/>
        <v/>
      </c>
    </row>
    <row r="32" spans="1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si="1"/>
        <v/>
      </c>
    </row>
    <row r="36" spans="8:8" x14ac:dyDescent="0.25">
      <c r="H36" t="str">
        <f t="shared" si="1"/>
        <v/>
      </c>
    </row>
    <row r="37" spans="8:8" x14ac:dyDescent="0.25">
      <c r="H37" t="str">
        <f t="shared" si="1"/>
        <v/>
      </c>
    </row>
    <row r="38" spans="8:8" x14ac:dyDescent="0.25">
      <c r="H38" t="str">
        <f t="shared" si="1"/>
        <v/>
      </c>
    </row>
    <row r="39" spans="8:8" x14ac:dyDescent="0.25">
      <c r="H39" t="str">
        <f t="shared" si="1"/>
        <v/>
      </c>
    </row>
    <row r="40" spans="8:8" x14ac:dyDescent="0.25">
      <c r="H40" t="str">
        <f t="shared" si="1"/>
        <v/>
      </c>
    </row>
    <row r="41" spans="8:8" x14ac:dyDescent="0.25">
      <c r="H41" t="str">
        <f t="shared" si="1"/>
        <v/>
      </c>
    </row>
    <row r="42" spans="8:8" x14ac:dyDescent="0.25">
      <c r="H42" t="str">
        <f t="shared" si="1"/>
        <v/>
      </c>
    </row>
    <row r="43" spans="8:8" x14ac:dyDescent="0.25">
      <c r="H43" t="str">
        <f t="shared" si="1"/>
        <v/>
      </c>
    </row>
    <row r="44" spans="8:8" x14ac:dyDescent="0.25">
      <c r="H44" t="str">
        <f t="shared" si="1"/>
        <v/>
      </c>
    </row>
    <row r="45" spans="8:8" x14ac:dyDescent="0.25">
      <c r="H45" t="str">
        <f t="shared" si="1"/>
        <v/>
      </c>
    </row>
    <row r="46" spans="8:8" x14ac:dyDescent="0.25">
      <c r="H46" t="str">
        <f t="shared" si="1"/>
        <v/>
      </c>
    </row>
    <row r="47" spans="8:8" x14ac:dyDescent="0.25">
      <c r="H47" t="str">
        <f t="shared" si="1"/>
        <v/>
      </c>
    </row>
    <row r="48" spans="8:8" x14ac:dyDescent="0.25">
      <c r="H48" t="str">
        <f t="shared" si="1"/>
        <v/>
      </c>
    </row>
    <row r="49" spans="8:8" x14ac:dyDescent="0.25">
      <c r="H49" t="str">
        <f t="shared" si="1"/>
        <v/>
      </c>
    </row>
    <row r="50" spans="8:8" x14ac:dyDescent="0.25">
      <c r="H50" t="str">
        <f t="shared" si="1"/>
        <v/>
      </c>
    </row>
    <row r="51" spans="8:8" x14ac:dyDescent="0.25">
      <c r="H51" t="str">
        <f t="shared" si="1"/>
        <v/>
      </c>
    </row>
    <row r="52" spans="8:8" x14ac:dyDescent="0.25">
      <c r="H52" t="str">
        <f t="shared" si="1"/>
        <v/>
      </c>
    </row>
    <row r="53" spans="8:8" x14ac:dyDescent="0.25">
      <c r="H53" t="str">
        <f t="shared" si="1"/>
        <v/>
      </c>
    </row>
    <row r="54" spans="8:8" x14ac:dyDescent="0.25">
      <c r="H54" t="str">
        <f t="shared" si="1"/>
        <v/>
      </c>
    </row>
    <row r="55" spans="8:8" x14ac:dyDescent="0.25">
      <c r="H55" t="str">
        <f t="shared" si="1"/>
        <v/>
      </c>
    </row>
    <row r="56" spans="8:8" x14ac:dyDescent="0.25">
      <c r="H56" t="str">
        <f t="shared" si="1"/>
        <v/>
      </c>
    </row>
    <row r="57" spans="8:8" x14ac:dyDescent="0.25">
      <c r="H57" t="str">
        <f t="shared" si="1"/>
        <v/>
      </c>
    </row>
    <row r="58" spans="8:8" x14ac:dyDescent="0.25">
      <c r="H58" t="str">
        <f t="shared" si="1"/>
        <v/>
      </c>
    </row>
    <row r="59" spans="8:8" x14ac:dyDescent="0.25">
      <c r="H59" t="str">
        <f t="shared" si="1"/>
        <v/>
      </c>
    </row>
    <row r="60" spans="8:8" x14ac:dyDescent="0.25">
      <c r="H60" t="str">
        <f t="shared" si="1"/>
        <v/>
      </c>
    </row>
    <row r="61" spans="8:8" x14ac:dyDescent="0.25">
      <c r="H61" t="str">
        <f t="shared" si="1"/>
        <v/>
      </c>
    </row>
    <row r="62" spans="8:8" x14ac:dyDescent="0.25">
      <c r="H62" t="str">
        <f t="shared" si="1"/>
        <v/>
      </c>
    </row>
    <row r="63" spans="8:8" x14ac:dyDescent="0.25">
      <c r="H63" t="str">
        <f t="shared" si="1"/>
        <v/>
      </c>
    </row>
    <row r="64" spans="8:8" x14ac:dyDescent="0.25">
      <c r="H64" t="str">
        <f t="shared" si="1"/>
        <v/>
      </c>
    </row>
    <row r="65" spans="8:8" x14ac:dyDescent="0.25">
      <c r="H65" t="str">
        <f t="shared" si="1"/>
        <v/>
      </c>
    </row>
    <row r="66" spans="8:8" x14ac:dyDescent="0.25">
      <c r="H66" t="str">
        <f t="shared" si="1"/>
        <v/>
      </c>
    </row>
    <row r="67" spans="8:8" x14ac:dyDescent="0.25">
      <c r="H67" t="str">
        <f t="shared" ref="H67:H106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si="3"/>
        <v/>
      </c>
    </row>
    <row r="100" spans="8:8" x14ac:dyDescent="0.25">
      <c r="H100" t="str">
        <f t="shared" si="3"/>
        <v/>
      </c>
    </row>
    <row r="101" spans="8:8" x14ac:dyDescent="0.25">
      <c r="H101" t="str">
        <f t="shared" si="3"/>
        <v/>
      </c>
    </row>
    <row r="102" spans="8:8" x14ac:dyDescent="0.25">
      <c r="H102" t="str">
        <f t="shared" si="3"/>
        <v/>
      </c>
    </row>
    <row r="103" spans="8:8" x14ac:dyDescent="0.25">
      <c r="H103" t="str">
        <f t="shared" si="3"/>
        <v/>
      </c>
    </row>
    <row r="104" spans="8:8" x14ac:dyDescent="0.25">
      <c r="H104" t="str">
        <f t="shared" si="3"/>
        <v/>
      </c>
    </row>
    <row r="105" spans="8:8" x14ac:dyDescent="0.25">
      <c r="H105" t="str">
        <f t="shared" si="3"/>
        <v/>
      </c>
    </row>
    <row r="106" spans="8:8" x14ac:dyDescent="0.25">
      <c r="H106" t="str">
        <f t="shared" si="3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44CB842-296D-43B5-8EC4-12AD766FB2C3}">
          <x14:formula1>
            <xm:f>input!$C$2:$F$2</xm:f>
          </x14:formula1>
          <xm:sqref>E2:G89</xm:sqref>
        </x14:dataValidation>
        <x14:dataValidation type="list" allowBlank="1" showInputMessage="1" showErrorMessage="1" xr:uid="{55B61686-C713-47B1-9060-9045630E3352}">
          <x14:formula1>
            <xm:f>orbs!$A$2:$A$43</xm:f>
          </x14:formula1>
          <xm:sqref>C2:C100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165</v>
      </c>
      <c r="B2" t="str">
        <f t="shared" ref="B2:B18" si="0">PROPER(SUBSTITUTE(A2,"_"," "))</f>
        <v>Wayward</v>
      </c>
      <c r="C2" t="s">
        <v>167</v>
      </c>
    </row>
    <row r="3" spans="1:3" x14ac:dyDescent="0.25">
      <c r="A3" t="s">
        <v>219</v>
      </c>
      <c r="B3" t="str">
        <f t="shared" si="0"/>
        <v>Attracted</v>
      </c>
      <c r="C3" t="s">
        <v>168</v>
      </c>
    </row>
    <row r="4" spans="1:3" x14ac:dyDescent="0.25">
      <c r="A4" t="s">
        <v>169</v>
      </c>
      <c r="B4" t="str">
        <f t="shared" si="0"/>
        <v>Spite</v>
      </c>
      <c r="C4" t="s">
        <v>170</v>
      </c>
    </row>
    <row r="5" spans="1:3" x14ac:dyDescent="0.25">
      <c r="A5" t="s">
        <v>171</v>
      </c>
      <c r="B5" t="str">
        <f t="shared" si="0"/>
        <v>Rooted</v>
      </c>
      <c r="C5" t="s">
        <v>172</v>
      </c>
    </row>
    <row r="6" spans="1:3" x14ac:dyDescent="0.25">
      <c r="A6" t="s">
        <v>174</v>
      </c>
      <c r="B6" t="str">
        <f t="shared" si="0"/>
        <v>Patrol</v>
      </c>
      <c r="C6" t="s">
        <v>173</v>
      </c>
    </row>
    <row r="7" spans="1:3" x14ac:dyDescent="0.25">
      <c r="A7" t="s">
        <v>175</v>
      </c>
      <c r="B7" t="str">
        <f t="shared" si="0"/>
        <v>Familiar</v>
      </c>
      <c r="C7" t="s">
        <v>176</v>
      </c>
    </row>
    <row r="8" spans="1:3" x14ac:dyDescent="0.25">
      <c r="A8" t="s">
        <v>177</v>
      </c>
      <c r="B8" t="str">
        <f t="shared" si="0"/>
        <v>Rail</v>
      </c>
      <c r="C8" t="s">
        <v>178</v>
      </c>
    </row>
    <row r="9" spans="1:3" x14ac:dyDescent="0.25">
      <c r="A9" t="s">
        <v>179</v>
      </c>
      <c r="B9" t="str">
        <f t="shared" si="0"/>
        <v>Tide</v>
      </c>
      <c r="C9" t="s">
        <v>180</v>
      </c>
    </row>
    <row r="10" spans="1:3" x14ac:dyDescent="0.25">
      <c r="A10" t="s">
        <v>181</v>
      </c>
      <c r="B10" t="str">
        <f t="shared" si="0"/>
        <v>Blink</v>
      </c>
      <c r="C10" t="s">
        <v>182</v>
      </c>
    </row>
    <row r="11" spans="1:3" x14ac:dyDescent="0.25">
      <c r="A11" t="s">
        <v>183</v>
      </c>
      <c r="B11" t="str">
        <f t="shared" si="0"/>
        <v>Loyal</v>
      </c>
      <c r="C11" t="s">
        <v>184</v>
      </c>
    </row>
    <row r="12" spans="1:3" x14ac:dyDescent="0.25">
      <c r="A12" t="s">
        <v>185</v>
      </c>
      <c r="B12" t="str">
        <f t="shared" si="0"/>
        <v>Hexed</v>
      </c>
      <c r="C12" t="s">
        <v>186</v>
      </c>
    </row>
    <row r="13" spans="1:3" x14ac:dyDescent="0.25">
      <c r="A13" t="s">
        <v>187</v>
      </c>
      <c r="B13" t="str">
        <f t="shared" si="0"/>
        <v>Stalker</v>
      </c>
      <c r="C13" t="s">
        <v>188</v>
      </c>
    </row>
    <row r="14" spans="1:3" x14ac:dyDescent="0.25">
      <c r="A14" t="s">
        <v>189</v>
      </c>
      <c r="B14" t="str">
        <f t="shared" si="0"/>
        <v>Herd</v>
      </c>
      <c r="C14" t="s">
        <v>191</v>
      </c>
    </row>
    <row r="15" spans="1:3" x14ac:dyDescent="0.25">
      <c r="A15" t="s">
        <v>190</v>
      </c>
      <c r="B15" t="str">
        <f t="shared" si="0"/>
        <v>Greedy</v>
      </c>
      <c r="C15" t="s">
        <v>273</v>
      </c>
    </row>
    <row r="16" spans="1:3" x14ac:dyDescent="0.25">
      <c r="A16" t="s">
        <v>192</v>
      </c>
      <c r="B16" t="str">
        <f t="shared" si="0"/>
        <v>Oathbound</v>
      </c>
      <c r="C16" t="s">
        <v>193</v>
      </c>
    </row>
    <row r="17" spans="1:3" x14ac:dyDescent="0.25">
      <c r="A17" t="s">
        <v>194</v>
      </c>
      <c r="B17" t="str">
        <f t="shared" si="0"/>
        <v>Echo</v>
      </c>
      <c r="C17" t="s">
        <v>195</v>
      </c>
    </row>
    <row r="18" spans="1:3" x14ac:dyDescent="0.25">
      <c r="A18" t="s">
        <v>196</v>
      </c>
      <c r="B18" t="str">
        <f t="shared" si="0"/>
        <v>Phasing</v>
      </c>
      <c r="C18" t="s">
        <v>197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123</v>
      </c>
      <c r="B2" s="3" t="s">
        <v>210</v>
      </c>
      <c r="C2" t="s">
        <v>125</v>
      </c>
      <c r="D2" t="s">
        <v>129</v>
      </c>
      <c r="E2" t="s">
        <v>132</v>
      </c>
      <c r="F2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42"/>
  <sheetViews>
    <sheetView workbookViewId="0">
      <pane ySplit="1" topLeftCell="A2" activePane="bottomLeft" state="frozen"/>
      <selection pane="bottomLeft" activeCell="B32" sqref="B32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4</v>
      </c>
      <c r="C4" s="11" t="s">
        <v>119</v>
      </c>
    </row>
    <row r="5" spans="1:3" x14ac:dyDescent="0.25">
      <c r="A5" s="11" t="s">
        <v>123</v>
      </c>
      <c r="B5" s="11" t="s">
        <v>211</v>
      </c>
      <c r="C5" s="11" t="s">
        <v>119</v>
      </c>
    </row>
    <row r="6" spans="1:3" x14ac:dyDescent="0.25">
      <c r="A6" s="11" t="s">
        <v>123</v>
      </c>
      <c r="B6" s="11" t="s">
        <v>212</v>
      </c>
      <c r="C6" s="11" t="s">
        <v>119</v>
      </c>
    </row>
    <row r="7" spans="1:3" x14ac:dyDescent="0.25">
      <c r="A7" s="11" t="s">
        <v>123</v>
      </c>
      <c r="B7" s="11" t="s">
        <v>213</v>
      </c>
      <c r="C7" s="11" t="s">
        <v>119</v>
      </c>
    </row>
    <row r="8" spans="1:3" x14ac:dyDescent="0.25">
      <c r="A8" s="11" t="s">
        <v>123</v>
      </c>
      <c r="B8" s="11" t="s">
        <v>166</v>
      </c>
      <c r="C8" s="11" t="s">
        <v>119</v>
      </c>
    </row>
    <row r="9" spans="1:3" x14ac:dyDescent="0.25">
      <c r="A9" s="11" t="s">
        <v>123</v>
      </c>
      <c r="B9" s="11" t="s">
        <v>154</v>
      </c>
      <c r="C9" s="11" t="s">
        <v>122</v>
      </c>
    </row>
    <row r="10" spans="1:3" x14ac:dyDescent="0.25">
      <c r="A10" s="11" t="s">
        <v>123</v>
      </c>
      <c r="B10" s="11" t="s">
        <v>155</v>
      </c>
      <c r="C10" s="11" t="s">
        <v>122</v>
      </c>
    </row>
    <row r="11" spans="1:3" x14ac:dyDescent="0.25">
      <c r="A11" s="11" t="s">
        <v>123</v>
      </c>
      <c r="B11" s="11" t="s">
        <v>156</v>
      </c>
      <c r="C11" s="11" t="s">
        <v>122</v>
      </c>
    </row>
    <row r="12" spans="1:3" x14ac:dyDescent="0.25">
      <c r="A12" s="11" t="s">
        <v>123</v>
      </c>
      <c r="B12" s="11" t="s">
        <v>157</v>
      </c>
      <c r="C12" s="11" t="s">
        <v>122</v>
      </c>
    </row>
    <row r="13" spans="1:3" x14ac:dyDescent="0.25">
      <c r="A13" s="11" t="s">
        <v>123</v>
      </c>
      <c r="B13" s="11" t="s">
        <v>158</v>
      </c>
      <c r="C13" s="11" t="s">
        <v>122</v>
      </c>
    </row>
    <row r="14" spans="1:3" x14ac:dyDescent="0.25">
      <c r="A14" s="11" t="s">
        <v>123</v>
      </c>
      <c r="B14" s="11" t="s">
        <v>159</v>
      </c>
      <c r="C14" s="11" t="s">
        <v>122</v>
      </c>
    </row>
    <row r="15" spans="1:3" x14ac:dyDescent="0.25">
      <c r="A15" s="11" t="s">
        <v>123</v>
      </c>
      <c r="B15" s="11" t="s">
        <v>160</v>
      </c>
      <c r="C15" s="11" t="s">
        <v>122</v>
      </c>
    </row>
    <row r="16" spans="1:3" x14ac:dyDescent="0.25">
      <c r="A16" s="11" t="s">
        <v>123</v>
      </c>
      <c r="B16" s="11" t="s">
        <v>208</v>
      </c>
      <c r="C16" s="11" t="s">
        <v>122</v>
      </c>
    </row>
    <row r="17" spans="1:3" x14ac:dyDescent="0.25">
      <c r="A17" s="11" t="s">
        <v>123</v>
      </c>
      <c r="B17" s="11" t="s">
        <v>161</v>
      </c>
      <c r="C17" s="11" t="s">
        <v>120</v>
      </c>
    </row>
    <row r="18" spans="1:3" x14ac:dyDescent="0.25">
      <c r="A18" s="11" t="s">
        <v>123</v>
      </c>
      <c r="B18" s="11" t="s">
        <v>162</v>
      </c>
      <c r="C18" s="11" t="s">
        <v>120</v>
      </c>
    </row>
    <row r="19" spans="1:3" x14ac:dyDescent="0.25">
      <c r="A19" s="11" t="s">
        <v>123</v>
      </c>
      <c r="B19" s="11" t="s">
        <v>163</v>
      </c>
      <c r="C19" s="11" t="s">
        <v>120</v>
      </c>
    </row>
    <row r="20" spans="1:3" x14ac:dyDescent="0.25">
      <c r="A20" s="11" t="s">
        <v>123</v>
      </c>
      <c r="B20" s="11" t="s">
        <v>164</v>
      </c>
      <c r="C20" s="11" t="s">
        <v>120</v>
      </c>
    </row>
    <row r="21" spans="1:3" x14ac:dyDescent="0.25">
      <c r="A21" s="11" t="s">
        <v>123</v>
      </c>
      <c r="B21" s="11" t="s">
        <v>109</v>
      </c>
      <c r="C21" s="11" t="s">
        <v>119</v>
      </c>
    </row>
    <row r="22" spans="1:3" x14ac:dyDescent="0.25">
      <c r="A22" s="11" t="s">
        <v>123</v>
      </c>
      <c r="B22" s="11" t="s">
        <v>14</v>
      </c>
      <c r="C22" s="11" t="s">
        <v>121</v>
      </c>
    </row>
    <row r="23" spans="1:3" x14ac:dyDescent="0.25">
      <c r="A23" s="12" t="s">
        <v>202</v>
      </c>
      <c r="B23" s="12" t="s">
        <v>0</v>
      </c>
      <c r="C23" s="12" t="s">
        <v>119</v>
      </c>
    </row>
    <row r="24" spans="1:3" x14ac:dyDescent="0.25">
      <c r="A24" s="12" t="s">
        <v>202</v>
      </c>
      <c r="B24" s="12" t="s">
        <v>1</v>
      </c>
      <c r="C24" s="12" t="s">
        <v>119</v>
      </c>
    </row>
    <row r="25" spans="1:3" x14ac:dyDescent="0.25">
      <c r="A25" s="12" t="s">
        <v>202</v>
      </c>
      <c r="B25" s="12" t="s">
        <v>2</v>
      </c>
      <c r="C25" s="12" t="s">
        <v>119</v>
      </c>
    </row>
    <row r="26" spans="1:3" x14ac:dyDescent="0.25">
      <c r="A26" s="12" t="s">
        <v>202</v>
      </c>
      <c r="B26" s="12" t="s">
        <v>152</v>
      </c>
      <c r="C26" s="12" t="s">
        <v>119</v>
      </c>
    </row>
    <row r="27" spans="1:3" x14ac:dyDescent="0.25">
      <c r="A27" s="12" t="s">
        <v>202</v>
      </c>
      <c r="B27" s="12" t="s">
        <v>207</v>
      </c>
      <c r="C27" s="12" t="s">
        <v>119</v>
      </c>
    </row>
    <row r="28" spans="1:3" x14ac:dyDescent="0.25">
      <c r="A28" s="12" t="s">
        <v>202</v>
      </c>
      <c r="B28" s="12" t="s">
        <v>139</v>
      </c>
      <c r="C28" s="12" t="s">
        <v>122</v>
      </c>
    </row>
    <row r="29" spans="1:3" x14ac:dyDescent="0.25">
      <c r="A29" s="12" t="s">
        <v>202</v>
      </c>
      <c r="B29" s="12" t="s">
        <v>140</v>
      </c>
      <c r="C29" s="12" t="s">
        <v>122</v>
      </c>
    </row>
    <row r="30" spans="1:3" x14ac:dyDescent="0.25">
      <c r="A30" s="12" t="s">
        <v>202</v>
      </c>
      <c r="B30" s="12" t="s">
        <v>141</v>
      </c>
      <c r="C30" s="12" t="s">
        <v>122</v>
      </c>
    </row>
    <row r="31" spans="1:3" x14ac:dyDescent="0.25">
      <c r="A31" s="12" t="s">
        <v>202</v>
      </c>
      <c r="B31" s="12" t="s">
        <v>109</v>
      </c>
      <c r="C31" s="12" t="s">
        <v>119</v>
      </c>
    </row>
    <row r="32" spans="1:3" x14ac:dyDescent="0.25">
      <c r="A32" s="15" t="s">
        <v>217</v>
      </c>
      <c r="B32" s="15" t="s">
        <v>0</v>
      </c>
      <c r="C32" s="15" t="s">
        <v>119</v>
      </c>
    </row>
    <row r="33" spans="1:3" x14ac:dyDescent="0.25">
      <c r="A33" s="15" t="s">
        <v>217</v>
      </c>
      <c r="B33" s="15" t="s">
        <v>1</v>
      </c>
      <c r="C33" s="15" t="s">
        <v>119</v>
      </c>
    </row>
    <row r="34" spans="1:3" x14ac:dyDescent="0.25">
      <c r="A34" s="15" t="s">
        <v>217</v>
      </c>
      <c r="B34" s="15" t="s">
        <v>216</v>
      </c>
      <c r="C34" s="15" t="s">
        <v>119</v>
      </c>
    </row>
    <row r="35" spans="1:3" x14ac:dyDescent="0.25">
      <c r="A35" s="15" t="s">
        <v>217</v>
      </c>
      <c r="B35" s="15" t="s">
        <v>2</v>
      </c>
      <c r="C35" s="15" t="s">
        <v>119</v>
      </c>
    </row>
    <row r="36" spans="1:3" x14ac:dyDescent="0.25">
      <c r="A36" s="15" t="s">
        <v>217</v>
      </c>
      <c r="B36" s="15" t="s">
        <v>211</v>
      </c>
      <c r="C36" s="15" t="s">
        <v>119</v>
      </c>
    </row>
    <row r="37" spans="1:3" x14ac:dyDescent="0.25">
      <c r="A37" s="15" t="s">
        <v>217</v>
      </c>
      <c r="B37" s="15" t="s">
        <v>212</v>
      </c>
      <c r="C37" s="15" t="s">
        <v>119</v>
      </c>
    </row>
    <row r="38" spans="1:3" ht="15.75" customHeight="1" x14ac:dyDescent="0.25">
      <c r="A38" s="15" t="s">
        <v>217</v>
      </c>
      <c r="B38" s="15" t="s">
        <v>213</v>
      </c>
      <c r="C38" s="15" t="s">
        <v>119</v>
      </c>
    </row>
    <row r="39" spans="1:3" ht="15.75" customHeight="1" x14ac:dyDescent="0.25">
      <c r="A39" s="15" t="s">
        <v>217</v>
      </c>
      <c r="B39" s="15" t="s">
        <v>14</v>
      </c>
      <c r="C39" s="15" t="s">
        <v>121</v>
      </c>
    </row>
    <row r="40" spans="1:3" x14ac:dyDescent="0.25">
      <c r="A40" s="14" t="s">
        <v>166</v>
      </c>
      <c r="B40" s="14" t="s">
        <v>0</v>
      </c>
      <c r="C40" s="14" t="s">
        <v>119</v>
      </c>
    </row>
    <row r="41" spans="1:3" x14ac:dyDescent="0.25">
      <c r="A41" s="14" t="s">
        <v>166</v>
      </c>
      <c r="B41" s="14" t="s">
        <v>1</v>
      </c>
      <c r="C41" s="14" t="s">
        <v>119</v>
      </c>
    </row>
    <row r="42" spans="1:3" x14ac:dyDescent="0.25">
      <c r="A42" s="14" t="s">
        <v>166</v>
      </c>
      <c r="B42" s="14" t="s">
        <v>2</v>
      </c>
      <c r="C42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2026-09-06T15:05:28Z</dcterms:modified>
</cp:coreProperties>
</file>