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5BB5C189-4D38-4857-BCD1-73C15634FD1A}" xr6:coauthVersionLast="47" xr6:coauthVersionMax="47" xr10:uidLastSave="{00000000-0000-0000-0000-000000000000}"/>
  <bookViews>
    <workbookView xWindow="7125" yWindow="4230" windowWidth="28800" windowHeight="15345" tabRatio="696" activeTab="5" xr2:uid="{00000000-000D-0000-FFFF-FFFF00000000}"/>
  </bookViews>
  <sheets>
    <sheet name="orbs" sheetId="1" r:id="rId1"/>
    <sheet name="glyphs" sheetId="15" r:id="rId2"/>
    <sheet name="motion" sheetId="16" r:id="rId3"/>
    <sheet name="objects_OLD" sheetId="3" state="hidden" r:id="rId4"/>
    <sheet name="input" sheetId="13" r:id="rId5"/>
    <sheet name="schema" sheetId="14" r:id="rId6"/>
  </sheets>
  <definedNames>
    <definedName name="_xlnm._FilterDatabase" localSheetId="3" hidden="1">objects_OLD!$A$1:$U$53</definedName>
    <definedName name="_xlnm._FilterDatabase" localSheetId="0" hidden="1">orbs!$A$1:$R$44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<sst xmlns="http://schemas.openxmlformats.org/spreadsheetml/2006/main" count="397" uniqueCount="217">
  <si>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</si>
  <si>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</si>
  <si>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</si>
  <si>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</si>
  <si>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</si>
  <si>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</si>
  <si>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</si>
  <si>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</si>
  <si>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</si>
  <si>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</si>
  <si>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</si>
  <si>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</si>
  <si>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</si>
  <si>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</si>
  <si>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</si>
  <si>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</si>
  <si>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</si>
  <si>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</si>
  <si>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</si>
  <si>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</si>
  <si>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</si>
  <si>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</si>
  <si>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</si>
  <si>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</si>
  <si>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</si>
  <si>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</si>
  <si>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</si>
  <si>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</si>
  <si>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</si>
  <si>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</si>
  <si>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</si>
  <si>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</si>
  <si>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</si>
  <si>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</si>
  <si>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</si>
  <si>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</si>
  <si>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</si>
  <si>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</si>
  <si>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</si>
  <si>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</si>
  <si>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</si>
  <si>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</si>
  <si>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</si>
  <si>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</si>
  <si>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</si>
  <si>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</si>
  <si>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</si>
  <si>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</si>
  <si>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</si>
  <si>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</si>
  <si>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</si>
  <si>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</si>
  <si>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</si>
  <si>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</si>
  <si>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</si>
  <si>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</si>
  <si>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</si>
  <si>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</si>
  <si>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</si>
  <si>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</si>
  <si>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</si>
  <si>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</si>
  <si>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</si>
  <si>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</si>
  <si>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</si>
  <si>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</si>
  <si>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</si>
  <si>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</si>
  <si>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</si>
  <si>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</si>
  <si>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</si>
  <si>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</si>
  <si>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</si>
  <si>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</si>
  <si>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</si>
  <si>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</si>
  <si>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</si>
  <si>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</si>
  <si>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</si>
  <si>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</si>
  <si>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</si>
  <si>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</si>
  <si>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</si>
  <si>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</si>
  <si>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</si>
  <si>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</si>
  <si>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</si>
  <si>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</si>
  <si>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</si>
  <si>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</si>
  <si>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</si>
  <si>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</si>
  <si>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</si>
  <si>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</si>
  <si>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</si>
  <si>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</si>
  <si>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</si>
  <si>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</si>
  <si>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</si>
  <si>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</si>
  <si>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</si>
  <si>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</si>
  <si>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</si>
  <si>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</si>
  <si>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</si>
  <si>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</si>
  <si>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</si>
  <si>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</si>
  <si>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</si>
  <si>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</si>
  <si>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</si>
  <si>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</si>
  <si>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</si>
  <si>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</si>
  <si>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</si>
  <si>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</si>
  <si>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</si>
  <si>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</si>
  <si>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</si>
  <si>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</si>
  <si>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</si>
  <si>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</si>
  <si>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</si>
  <si>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</si>
  <si>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Standard orb with no effect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</si>
  <si>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</si>
  <si>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</si>
  <si>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</si>
  <si>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</si>
  <si>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</si>
  <si>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</si>
  <si>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</si>
  <si>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</si>
  <si>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</si>
  <si>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</si>
  <si>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</si>
  <si>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</si>
  <si>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</si>
  <si>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</si>
  <si>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</si>
  <si>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</si>
  <si>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</si>
  <si>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</si>
  <si>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</si>
  <si>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</si>
  <si>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</si>
  <si>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</si>
  <si>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soft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</si>
  <si>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</si>
  <si>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</si>
  <si>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</si>
  <si>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</si>
  <si>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</si>
  <si>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</si>
  <si>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</si>
  <si>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</si>
  <si>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</si>
  <si>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</si>
  <si>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</si>
  <si>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</si>
  <si>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</si>
  <si>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</si>
  <si>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</si>
  <si>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</si>
  <si>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</si>
  <si>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</si>
  <si>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</si>
  <si>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</si>
  <si>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</si>
  <si>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</si>
  <si>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hungry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</si>
  <si>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</si>
  <si>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</si>
  <si>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</si>
  <si>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</si>
  <si>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</si>
  <si>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</si>
  <si>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</si>
  <si>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</si>
  <si>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</si>
  <si>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</si>
  <si>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</si>
  <si>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</si>
  <si>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</si>
  <si>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</si>
  <si>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</si>
  <si>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</si>
  <si>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</si>
  <si>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</si>
  <si>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</si>
  <si>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</si>
  <si>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</si>
  <si>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</si>
  <si>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</si>
  <si>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</si>
  <si>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</si>
  <si>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</si>
  <si>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</si>
  <si>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</si>
  <si>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</si>
  <si>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</si>
  <si>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</si>
  <si>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</si>
  <si>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</si>
  <si>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</si>
  <si>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</si>
  <si>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</si>
  <si>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Enters enemies and deal its impact damage per second to them. Once dead, exits in a random direction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</si>
  <si>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</si>
  <si>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</si>
  <si>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</si>
  <si>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</si>
  <si>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</si>
  <si>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</si>
  <si>
    <t>attribute</t>
  </si>
  <si>
    <t>glyph_drop</t>
  </si>
  <si>
    <t>Glyph drop chance from enemies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</si>
</sst>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</cellXfs>
  <cellStyles count="2">
    <cellStyle name="Normal" xfId="0" builtinId="0"/>
    <cellStyle name="Percent" xfId="1" builtinId="5"/>
  </cellStyles>
  <dxfs count="1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R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2" sqref="L2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5" customWidth="1"/>
    <col min="5" max="5" width="10.42578125" customWidth="1"/>
    <col min="6" max="6" width="15.42578125" customWidth="1"/>
    <col min="7" max="7" width="8.85546875" bestFit="1" customWidth="1"/>
    <col min="8" max="8" width="8.5703125" customWidth="1"/>
    <col min="9" max="9" width="9.140625" customWidth="1"/>
    <col min="10" max="12" width="14.5703125" customWidth="1"/>
    <col min="13" max="13" width="8.85546875" customWidth="1"/>
    <col min="14" max="14" width="8.42578125" customWidth="1"/>
    <col min="15" max="15" width="8.5703125" customWidth="1"/>
    <col min="16" max="16" width="8.7109375" customWidth="1"/>
    <col min="17" max="17" width="47" customWidth="1"/>
  </cols>
  <sheetData>
    <row r="1" spans="1:18" x14ac:dyDescent="0.25">
      <c r="A1" s="4" t="s">
        <v>0</v>
      </c>
      <c r="B1" s="4" t="s">
        <v>1</v>
      </c>
      <c r="C1" s="4" t="s">
        <v>2</v>
      </c>
      <c r="D1" s="10" t="s">
        <v>168</v>
      </c>
      <c r="E1" s="9" t="s">
        <v>156</v>
      </c>
      <c r="F1" s="9" t="s">
        <v>157</v>
      </c>
      <c r="G1" s="9" t="s">
        <v>158</v>
      </c>
      <c r="H1" s="9" t="s">
        <v>159</v>
      </c>
      <c r="I1" s="9" t="s">
        <v>160</v>
      </c>
      <c r="J1" s="9" t="s">
        <v>161</v>
      </c>
      <c r="K1" s="9" t="s">
        <v>162</v>
      </c>
      <c r="L1" s="9" t="s">
        <v>215</v>
      </c>
      <c r="M1" s="9" t="s">
        <v>163</v>
      </c>
      <c r="N1" s="9" t="s">
        <v>164</v>
      </c>
      <c r="O1" s="9" t="s">
        <v>165</v>
      </c>
      <c r="P1" s="9" t="s">
        <v>166</v>
      </c>
      <c r="Q1" s="13" t="s">
        <v>109</v>
      </c>
      <c r="R1" s="13" t="s">
        <v>14</v>
      </c>
    </row>
    <row r="2" spans="1:18" x14ac:dyDescent="0.25">
      <c r="A2" t="s">
        <v>202</v>
      </c>
      <c r="B2" t="str">
        <f t="shared" ref="B2:B26" si="0">PROPER(SUBSTITUTE(A2,"_"," "))</f>
        <v>Blank</v>
      </c>
      <c r="C2" t="s">
        <v>124</v>
      </c>
      <c r="D2" t="s">
        <v>167</v>
      </c>
      <c r="E2">
        <v>10</v>
      </c>
      <c r="F2">
        <v>8</v>
      </c>
      <c r="G2" s="8">
        <v>0</v>
      </c>
      <c r="H2">
        <v>100</v>
      </c>
      <c r="I2">
        <v>5</v>
      </c>
      <c r="J2" s="8">
        <v>0.01</v>
      </c>
      <c r="K2" s="8">
        <v>2</v>
      </c>
      <c r="L2" s="8">
        <v>0.1</v>
      </c>
      <c r="M2">
        <v>0</v>
      </c>
      <c r="N2">
        <v>0</v>
      </c>
      <c r="O2">
        <v>0</v>
      </c>
      <c r="P2">
        <v>0</v>
      </c>
      <c r="Q2" t="s">
        <v>210</v>
      </c>
      <c r="R2" t="b">
        <v>1</v>
      </c>
    </row>
    <row r="3" spans="1:18" x14ac:dyDescent="0.25">
      <c r="A3" t="s">
        <v>203</v>
      </c>
      <c r="B3" t="str">
        <f t="shared" si="0"/>
        <v>Conduit</v>
      </c>
      <c r="C3" t="s">
        <v>206</v>
      </c>
      <c r="D3" t="s">
        <v>167</v>
      </c>
      <c r="E3">
        <v>10</v>
      </c>
      <c r="F3">
        <v>12</v>
      </c>
      <c r="G3" s="8">
        <v>0</v>
      </c>
      <c r="H3">
        <v>130</v>
      </c>
      <c r="I3">
        <v>5</v>
      </c>
      <c r="J3" s="8">
        <v>0.01</v>
      </c>
      <c r="K3" s="8">
        <v>2</v>
      </c>
      <c r="L3" s="8">
        <v>0.1</v>
      </c>
      <c r="M3">
        <v>0</v>
      </c>
      <c r="N3">
        <v>0</v>
      </c>
      <c r="O3">
        <v>3</v>
      </c>
      <c r="P3">
        <v>0</v>
      </c>
      <c r="Q3" t="s">
        <v>211</v>
      </c>
      <c r="R3" t="b">
        <v>1</v>
      </c>
    </row>
    <row r="4" spans="1:18" x14ac:dyDescent="0.25">
      <c r="A4" t="s">
        <v>204</v>
      </c>
      <c r="B4" t="str">
        <f t="shared" si="0"/>
        <v>Rot</v>
      </c>
      <c r="C4" t="s">
        <v>208</v>
      </c>
      <c r="D4" t="s">
        <v>167</v>
      </c>
      <c r="E4">
        <v>5</v>
      </c>
      <c r="F4">
        <v>18</v>
      </c>
      <c r="G4" s="8">
        <v>0.01</v>
      </c>
      <c r="H4">
        <v>80</v>
      </c>
      <c r="I4">
        <v>7</v>
      </c>
      <c r="J4" s="8">
        <v>0.01</v>
      </c>
      <c r="K4" s="8">
        <v>2</v>
      </c>
      <c r="L4" s="8">
        <v>0.1</v>
      </c>
      <c r="M4">
        <v>0</v>
      </c>
      <c r="N4">
        <v>0</v>
      </c>
      <c r="O4">
        <v>0</v>
      </c>
      <c r="P4">
        <v>3</v>
      </c>
      <c r="Q4" t="s">
        <v>212</v>
      </c>
      <c r="R4" t="b">
        <v>1</v>
      </c>
    </row>
    <row r="5" spans="1:18" x14ac:dyDescent="0.25">
      <c r="A5" t="s">
        <v>205</v>
      </c>
      <c r="B5" t="str">
        <f t="shared" si="0"/>
        <v>Ghost</v>
      </c>
      <c r="C5" t="s">
        <v>207</v>
      </c>
      <c r="D5" t="s">
        <v>167</v>
      </c>
      <c r="E5">
        <v>10</v>
      </c>
      <c r="F5">
        <v>8</v>
      </c>
      <c r="G5" s="8">
        <v>0</v>
      </c>
      <c r="H5">
        <v>110</v>
      </c>
      <c r="I5">
        <v>2</v>
      </c>
      <c r="J5" s="8">
        <v>0.01</v>
      </c>
      <c r="K5" s="8">
        <v>2</v>
      </c>
      <c r="L5" s="8">
        <v>0.1</v>
      </c>
      <c r="M5">
        <v>0</v>
      </c>
      <c r="N5">
        <v>0</v>
      </c>
      <c r="O5">
        <v>0</v>
      </c>
      <c r="P5">
        <v>0</v>
      </c>
      <c r="Q5" t="s">
        <v>213</v>
      </c>
      <c r="R5" t="b">
        <v>1</v>
      </c>
    </row>
    <row r="6" spans="1:18" x14ac:dyDescent="0.25">
      <c r="B6" t="str">
        <f t="shared" si="0"/>
        <v/>
      </c>
    </row>
    <row r="7" spans="1:18" x14ac:dyDescent="0.25">
      <c r="B7" t="str">
        <f t="shared" si="0"/>
        <v/>
      </c>
    </row>
    <row r="8" spans="1:18" x14ac:dyDescent="0.25">
      <c r="B8" t="str">
        <f t="shared" si="0"/>
        <v/>
      </c>
    </row>
    <row r="9" spans="1:18" x14ac:dyDescent="0.25">
      <c r="B9" t="str">
        <f t="shared" si="0"/>
        <v/>
      </c>
    </row>
    <row r="10" spans="1:18" x14ac:dyDescent="0.25">
      <c r="B10" t="str">
        <f t="shared" si="0"/>
        <v/>
      </c>
    </row>
    <row r="11" spans="1:18" x14ac:dyDescent="0.25">
      <c r="B11" t="str">
        <f t="shared" si="0"/>
        <v/>
      </c>
    </row>
    <row r="12" spans="1:18" x14ac:dyDescent="0.25">
      <c r="B12" t="str">
        <f t="shared" si="0"/>
        <v/>
      </c>
    </row>
    <row r="13" spans="1:18" x14ac:dyDescent="0.25">
      <c r="B13" t="str">
        <f t="shared" si="0"/>
        <v/>
      </c>
    </row>
    <row r="14" spans="1:18" x14ac:dyDescent="0.25">
      <c r="B14" t="str">
        <f t="shared" si="0"/>
        <v/>
      </c>
    </row>
    <row r="15" spans="1:18" x14ac:dyDescent="0.25">
      <c r="B15" t="str">
        <f t="shared" si="0"/>
        <v/>
      </c>
    </row>
    <row r="16" spans="1:18" x14ac:dyDescent="0.25">
      <c r="B16" t="str">
        <f t="shared" si="0"/>
        <v/>
      </c>
    </row>
    <row r="17" spans="2:2" x14ac:dyDescent="0.25">
      <c r="B17" t="str">
        <f t="shared" si="0"/>
        <v/>
      </c>
    </row>
    <row r="18" spans="2:2" x14ac:dyDescent="0.25">
      <c r="B18" t="str">
        <f t="shared" si="0"/>
        <v/>
      </c>
    </row>
    <row r="19" spans="2:2" x14ac:dyDescent="0.25">
      <c r="B19" t="str">
        <f t="shared" si="0"/>
        <v/>
      </c>
    </row>
    <row r="20" spans="2:2" x14ac:dyDescent="0.25">
      <c r="B20" t="str">
        <f t="shared" si="0"/>
        <v/>
      </c>
    </row>
    <row r="21" spans="2:2" x14ac:dyDescent="0.25">
      <c r="B21" t="str">
        <f t="shared" si="0"/>
        <v/>
      </c>
    </row>
    <row r="22" spans="2:2" x14ac:dyDescent="0.25">
      <c r="B22" t="str">
        <f t="shared" si="0"/>
        <v/>
      </c>
    </row>
    <row r="23" spans="2:2" x14ac:dyDescent="0.25">
      <c r="B23" t="str">
        <f t="shared" si="0"/>
        <v/>
      </c>
    </row>
    <row r="24" spans="2:2" x14ac:dyDescent="0.25">
      <c r="B24" t="str">
        <f t="shared" si="0"/>
        <v/>
      </c>
    </row>
    <row r="25" spans="2:2" x14ac:dyDescent="0.25">
      <c r="B25" t="str">
        <f t="shared" si="0"/>
        <v/>
      </c>
    </row>
    <row r="26" spans="2:2" x14ac:dyDescent="0.25">
      <c r="B26" t="str">
        <f t="shared" si="0"/>
        <v/>
      </c>
    </row>
    <row r="27" spans="2:2" x14ac:dyDescent="0.25">
      <c r="B27" t="str">
        <f t="shared" ref="B27:B44" si="1">PROPER(SUBSTITUTE(A27,"_"," "))</f>
        <v/>
      </c>
    </row>
    <row r="28" spans="2:2" x14ac:dyDescent="0.25">
      <c r="B28" t="str">
        <f t="shared" si="1"/>
        <v/>
      </c>
    </row>
    <row r="29" spans="2:2" x14ac:dyDescent="0.25">
      <c r="B29" t="str">
        <f t="shared" si="1"/>
        <v/>
      </c>
    </row>
    <row r="30" spans="2:2" x14ac:dyDescent="0.25">
      <c r="B30" t="str">
        <f t="shared" si="1"/>
        <v/>
      </c>
    </row>
    <row r="31" spans="2:2" x14ac:dyDescent="0.25">
      <c r="B31" t="str">
        <f t="shared" si="1"/>
        <v/>
      </c>
    </row>
    <row r="32" spans="2:2" x14ac:dyDescent="0.25">
      <c r="B32" t="str">
        <f t="shared" si="1"/>
        <v/>
      </c>
    </row>
    <row r="33" spans="2:2" x14ac:dyDescent="0.25">
      <c r="B33" t="str">
        <f t="shared" si="1"/>
        <v/>
      </c>
    </row>
    <row r="34" spans="2:2" x14ac:dyDescent="0.25">
      <c r="B34" t="str">
        <f t="shared" si="1"/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</sheetData>
  <autoFilter ref="A1:R44" xr:uid="{00000000-0009-0000-0000-000000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C42C69-7304-40C7-BA02-8A3EB2712138}">
          <x14:formula1>
            <xm:f>motion!$A$2:$A$30</xm:f>
          </x14:formula1>
          <xm:sqref>D2:D50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H13"/>
  <sheetViews>
    <sheetView workbookViewId="0">
      <selection activeCell="F7" sqref="F7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154</v>
      </c>
      <c r="E1" s="3" t="s">
        <v>214</v>
      </c>
      <c r="F1" s="3" t="s">
        <v>140</v>
      </c>
      <c r="G1" s="3" t="s">
        <v>141</v>
      </c>
      <c r="H1" s="3" t="s">
        <v>142</v>
      </c>
    </row>
    <row r="2" spans="1:8" x14ac:dyDescent="0.25">
      <c r="A2" t="s">
        <v>143</v>
      </c>
      <c r="B2" t="str">
        <f>PROPER(A2)</f>
        <v>Coal</v>
      </c>
      <c r="C2" t="s">
        <v>125</v>
      </c>
      <c r="D2" t="s">
        <v>126</v>
      </c>
      <c r="E2" t="s">
        <v>163</v>
      </c>
      <c r="F2">
        <v>1</v>
      </c>
      <c r="G2">
        <v>2</v>
      </c>
      <c r="H2">
        <v>3</v>
      </c>
    </row>
    <row r="3" spans="1:8" x14ac:dyDescent="0.25">
      <c r="A3" t="s">
        <v>144</v>
      </c>
      <c r="B3" t="str">
        <f t="shared" ref="B3:B13" si="0">PROPER(A3)</f>
        <v>Fury</v>
      </c>
      <c r="C3" t="s">
        <v>127</v>
      </c>
      <c r="D3" t="s">
        <v>126</v>
      </c>
      <c r="E3" t="s">
        <v>156</v>
      </c>
      <c r="F3">
        <v>5</v>
      </c>
      <c r="G3">
        <v>10</v>
      </c>
      <c r="H3">
        <v>15</v>
      </c>
    </row>
    <row r="4" spans="1:8" x14ac:dyDescent="0.25">
      <c r="A4" t="s">
        <v>145</v>
      </c>
      <c r="B4" t="str">
        <f t="shared" si="0"/>
        <v>Blast</v>
      </c>
      <c r="C4" t="s">
        <v>128</v>
      </c>
      <c r="D4" t="s">
        <v>126</v>
      </c>
      <c r="E4" t="s">
        <v>158</v>
      </c>
      <c r="F4" s="6">
        <v>0.05</v>
      </c>
      <c r="G4" s="6">
        <v>0.1</v>
      </c>
      <c r="H4" s="6">
        <v>0.15</v>
      </c>
    </row>
    <row r="5" spans="1:8" x14ac:dyDescent="0.25">
      <c r="A5" t="s">
        <v>146</v>
      </c>
      <c r="B5" t="str">
        <f t="shared" si="0"/>
        <v>Rime</v>
      </c>
      <c r="C5" t="s">
        <v>129</v>
      </c>
      <c r="D5" t="s">
        <v>130</v>
      </c>
      <c r="E5" t="s">
        <v>164</v>
      </c>
      <c r="F5">
        <v>1</v>
      </c>
      <c r="G5">
        <v>2</v>
      </c>
      <c r="H5">
        <v>3</v>
      </c>
    </row>
    <row r="6" spans="1:8" x14ac:dyDescent="0.25">
      <c r="A6" t="s">
        <v>147</v>
      </c>
      <c r="B6" t="str">
        <f t="shared" si="0"/>
        <v>Soft</v>
      </c>
      <c r="C6" t="s">
        <v>131</v>
      </c>
      <c r="D6" t="s">
        <v>130</v>
      </c>
      <c r="E6" t="s">
        <v>157</v>
      </c>
      <c r="F6">
        <v>-10</v>
      </c>
      <c r="G6">
        <v>-20</v>
      </c>
      <c r="H6">
        <v>-30</v>
      </c>
    </row>
    <row r="7" spans="1:8" x14ac:dyDescent="0.25">
      <c r="A7" t="s">
        <v>148</v>
      </c>
      <c r="B7" t="str">
        <f t="shared" si="0"/>
        <v>Bounty</v>
      </c>
      <c r="C7" t="s">
        <v>216</v>
      </c>
      <c r="D7" t="s">
        <v>130</v>
      </c>
      <c r="E7" t="s">
        <v>215</v>
      </c>
      <c r="F7" s="8">
        <v>0.01</v>
      </c>
      <c r="G7" s="8">
        <v>0.02</v>
      </c>
      <c r="H7" s="8">
        <v>0.03</v>
      </c>
    </row>
    <row r="8" spans="1:8" x14ac:dyDescent="0.25">
      <c r="A8" t="s">
        <v>149</v>
      </c>
      <c r="B8" t="str">
        <f t="shared" si="0"/>
        <v>Static</v>
      </c>
      <c r="C8" t="s">
        <v>132</v>
      </c>
      <c r="D8" t="s">
        <v>133</v>
      </c>
      <c r="E8" t="s">
        <v>165</v>
      </c>
      <c r="F8">
        <v>1</v>
      </c>
      <c r="G8">
        <v>2</v>
      </c>
      <c r="H8">
        <v>3</v>
      </c>
    </row>
    <row r="9" spans="1:8" x14ac:dyDescent="0.25">
      <c r="A9" t="s">
        <v>155</v>
      </c>
      <c r="B9" t="str">
        <f t="shared" si="0"/>
        <v>Shear</v>
      </c>
      <c r="C9" t="s">
        <v>134</v>
      </c>
      <c r="D9" t="s">
        <v>133</v>
      </c>
      <c r="E9" t="s">
        <v>161</v>
      </c>
      <c r="F9" s="6">
        <v>0.01</v>
      </c>
      <c r="G9" s="6">
        <v>0.02</v>
      </c>
      <c r="H9" s="6">
        <v>0.03</v>
      </c>
    </row>
    <row r="10" spans="1:8" x14ac:dyDescent="0.25">
      <c r="A10" t="s">
        <v>150</v>
      </c>
      <c r="B10" t="str">
        <f t="shared" si="0"/>
        <v>Drag</v>
      </c>
      <c r="C10" t="s">
        <v>135</v>
      </c>
      <c r="D10" t="s">
        <v>133</v>
      </c>
      <c r="E10" t="s">
        <v>159</v>
      </c>
      <c r="F10">
        <v>-10</v>
      </c>
      <c r="G10">
        <v>-20</v>
      </c>
      <c r="H10">
        <v>-30</v>
      </c>
    </row>
    <row r="11" spans="1:8" x14ac:dyDescent="0.25">
      <c r="A11" t="s">
        <v>151</v>
      </c>
      <c r="B11" t="str">
        <f t="shared" si="0"/>
        <v>Blight</v>
      </c>
      <c r="C11" t="s">
        <v>136</v>
      </c>
      <c r="D11" t="s">
        <v>137</v>
      </c>
      <c r="E11" t="s">
        <v>166</v>
      </c>
      <c r="F11">
        <v>1</v>
      </c>
      <c r="G11">
        <v>2</v>
      </c>
      <c r="H11">
        <v>3</v>
      </c>
    </row>
    <row r="12" spans="1:8" x14ac:dyDescent="0.25">
      <c r="A12" t="s">
        <v>152</v>
      </c>
      <c r="B12" t="str">
        <f t="shared" si="0"/>
        <v>Dense</v>
      </c>
      <c r="C12" t="s">
        <v>138</v>
      </c>
      <c r="D12" t="s">
        <v>137</v>
      </c>
      <c r="E12" t="s">
        <v>160</v>
      </c>
      <c r="F12">
        <v>1</v>
      </c>
      <c r="G12">
        <v>2</v>
      </c>
      <c r="H12">
        <v>3</v>
      </c>
    </row>
    <row r="13" spans="1:8" x14ac:dyDescent="0.25">
      <c r="A13" t="s">
        <v>153</v>
      </c>
      <c r="B13" t="str">
        <f t="shared" si="0"/>
        <v>Crush</v>
      </c>
      <c r="C13" t="s">
        <v>139</v>
      </c>
      <c r="D13" t="s">
        <v>137</v>
      </c>
      <c r="E13" t="s">
        <v>162</v>
      </c>
      <c r="F13" s="6">
        <v>0.01</v>
      </c>
      <c r="G13" s="6">
        <v>0.02</v>
      </c>
      <c r="H13" s="6">
        <v>0.03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sqref="A1:C1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167</v>
      </c>
      <c r="B2" t="str">
        <f t="shared" ref="B2" si="0">PROPER(SUBSTITUTE(A2,"_"," "))</f>
        <v>Wayward</v>
      </c>
      <c r="C2" t="s">
        <v>169</v>
      </c>
    </row>
    <row r="3" spans="1:3" x14ac:dyDescent="0.25">
      <c r="A3" t="s">
        <v>170</v>
      </c>
      <c r="C3" t="s">
        <v>171</v>
      </c>
    </row>
    <row r="4" spans="1:3" x14ac:dyDescent="0.25">
      <c r="A4" t="s">
        <v>172</v>
      </c>
      <c r="C4" t="s">
        <v>173</v>
      </c>
    </row>
    <row r="5" spans="1:3" x14ac:dyDescent="0.25">
      <c r="A5" t="s">
        <v>174</v>
      </c>
      <c r="C5" t="s">
        <v>175</v>
      </c>
    </row>
    <row r="6" spans="1:3" x14ac:dyDescent="0.25">
      <c r="A6" t="s">
        <v>177</v>
      </c>
      <c r="C6" t="s">
        <v>176</v>
      </c>
    </row>
    <row r="7" spans="1:3" x14ac:dyDescent="0.25">
      <c r="A7" t="s">
        <v>178</v>
      </c>
      <c r="C7" t="s">
        <v>179</v>
      </c>
    </row>
    <row r="8" spans="1:3" x14ac:dyDescent="0.25">
      <c r="A8" t="s">
        <v>180</v>
      </c>
      <c r="C8" t="s">
        <v>181</v>
      </c>
    </row>
    <row r="9" spans="1:3" x14ac:dyDescent="0.25">
      <c r="A9" t="s">
        <v>182</v>
      </c>
      <c r="C9" t="s">
        <v>183</v>
      </c>
    </row>
    <row r="10" spans="1:3" x14ac:dyDescent="0.25">
      <c r="A10" t="s">
        <v>184</v>
      </c>
      <c r="C10" t="s">
        <v>185</v>
      </c>
    </row>
    <row r="11" spans="1:3" x14ac:dyDescent="0.25">
      <c r="A11" t="s">
        <v>186</v>
      </c>
      <c r="C11" t="s">
        <v>187</v>
      </c>
    </row>
    <row r="12" spans="1:3" x14ac:dyDescent="0.25">
      <c r="A12" t="s">
        <v>188</v>
      </c>
      <c r="C12" t="s">
        <v>189</v>
      </c>
    </row>
    <row r="13" spans="1:3" x14ac:dyDescent="0.25">
      <c r="A13" t="s">
        <v>190</v>
      </c>
      <c r="C13" t="s">
        <v>191</v>
      </c>
    </row>
    <row r="14" spans="1:3" x14ac:dyDescent="0.25">
      <c r="A14" t="s">
        <v>192</v>
      </c>
      <c r="C14" t="s">
        <v>195</v>
      </c>
    </row>
    <row r="15" spans="1:3" x14ac:dyDescent="0.25">
      <c r="A15" t="s">
        <v>193</v>
      </c>
      <c r="C15" t="s">
        <v>194</v>
      </c>
    </row>
    <row r="16" spans="1:3" x14ac:dyDescent="0.25">
      <c r="A16" t="s">
        <v>196</v>
      </c>
      <c r="C16" t="s">
        <v>197</v>
      </c>
    </row>
    <row r="17" spans="1:3" x14ac:dyDescent="0.25">
      <c r="A17" t="s">
        <v>198</v>
      </c>
      <c r="C17" t="s">
        <v>199</v>
      </c>
    </row>
    <row r="18" spans="1:3" x14ac:dyDescent="0.25">
      <c r="A18" t="s">
        <v>200</v>
      </c>
      <c r="C18" t="s">
        <v>201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D2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sheetData>
    <row r="2" spans="1:4" ht="15.6" customHeight="1" x14ac:dyDescent="0.25">
      <c r="A2" s="5" t="s">
        <v>123</v>
      </c>
      <c r="B2" s="3" t="s">
        <v>5</v>
      </c>
      <c r="C2" t="s">
        <v>18</v>
      </c>
      <c r="D2" t="s">
        <v>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30"/>
  <sheetViews>
    <sheetView tabSelected="1" workbookViewId="0">
      <pane ySplit="1" topLeftCell="A2" activePane="bottomLeft" state="frozen"/>
      <selection pane="bottomLeft" activeCell="B13" sqref="B13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2</v>
      </c>
      <c r="C4" s="11" t="s">
        <v>119</v>
      </c>
    </row>
    <row r="5" spans="1:3" x14ac:dyDescent="0.25">
      <c r="A5" s="11" t="s">
        <v>123</v>
      </c>
      <c r="B5" s="11" t="s">
        <v>168</v>
      </c>
      <c r="C5" s="11" t="s">
        <v>119</v>
      </c>
    </row>
    <row r="6" spans="1:3" x14ac:dyDescent="0.25">
      <c r="A6" s="11" t="s">
        <v>123</v>
      </c>
      <c r="B6" s="11" t="s">
        <v>156</v>
      </c>
      <c r="C6" s="11" t="s">
        <v>122</v>
      </c>
    </row>
    <row r="7" spans="1:3" x14ac:dyDescent="0.25">
      <c r="A7" s="11" t="s">
        <v>123</v>
      </c>
      <c r="B7" s="11" t="s">
        <v>157</v>
      </c>
      <c r="C7" s="11" t="s">
        <v>122</v>
      </c>
    </row>
    <row r="8" spans="1:3" x14ac:dyDescent="0.25">
      <c r="A8" s="11" t="s">
        <v>123</v>
      </c>
      <c r="B8" s="11" t="s">
        <v>158</v>
      </c>
      <c r="C8" s="11" t="s">
        <v>122</v>
      </c>
    </row>
    <row r="9" spans="1:3" x14ac:dyDescent="0.25">
      <c r="A9" s="11" t="s">
        <v>123</v>
      </c>
      <c r="B9" s="11" t="s">
        <v>159</v>
      </c>
      <c r="C9" s="11" t="s">
        <v>122</v>
      </c>
    </row>
    <row r="10" spans="1:3" x14ac:dyDescent="0.25">
      <c r="A10" s="11" t="s">
        <v>123</v>
      </c>
      <c r="B10" s="11" t="s">
        <v>160</v>
      </c>
      <c r="C10" s="11" t="s">
        <v>122</v>
      </c>
    </row>
    <row r="11" spans="1:3" x14ac:dyDescent="0.25">
      <c r="A11" s="11" t="s">
        <v>123</v>
      </c>
      <c r="B11" s="11" t="s">
        <v>161</v>
      </c>
      <c r="C11" s="11" t="s">
        <v>122</v>
      </c>
    </row>
    <row r="12" spans="1:3" x14ac:dyDescent="0.25">
      <c r="A12" s="11" t="s">
        <v>123</v>
      </c>
      <c r="B12" s="11" t="s">
        <v>162</v>
      </c>
      <c r="C12" s="11" t="s">
        <v>122</v>
      </c>
    </row>
    <row r="13" spans="1:3" x14ac:dyDescent="0.25">
      <c r="A13" s="11" t="s">
        <v>123</v>
      </c>
      <c r="B13" s="11" t="s">
        <v>215</v>
      </c>
      <c r="C13" s="11" t="s">
        <v>122</v>
      </c>
    </row>
    <row r="14" spans="1:3" x14ac:dyDescent="0.25">
      <c r="A14" s="11" t="s">
        <v>123</v>
      </c>
      <c r="B14" s="11" t="s">
        <v>163</v>
      </c>
      <c r="C14" s="11" t="s">
        <v>120</v>
      </c>
    </row>
    <row r="15" spans="1:3" x14ac:dyDescent="0.25">
      <c r="A15" s="11" t="s">
        <v>123</v>
      </c>
      <c r="B15" s="11" t="s">
        <v>164</v>
      </c>
      <c r="C15" s="11" t="s">
        <v>120</v>
      </c>
    </row>
    <row r="16" spans="1:3" x14ac:dyDescent="0.25">
      <c r="A16" s="11" t="s">
        <v>123</v>
      </c>
      <c r="B16" s="11" t="s">
        <v>165</v>
      </c>
      <c r="C16" s="11" t="s">
        <v>120</v>
      </c>
    </row>
    <row r="17" spans="1:3" x14ac:dyDescent="0.25">
      <c r="A17" s="11" t="s">
        <v>123</v>
      </c>
      <c r="B17" s="11" t="s">
        <v>166</v>
      </c>
      <c r="C17" s="11" t="s">
        <v>120</v>
      </c>
    </row>
    <row r="18" spans="1:3" x14ac:dyDescent="0.25">
      <c r="A18" s="11" t="s">
        <v>123</v>
      </c>
      <c r="B18" s="11" t="s">
        <v>109</v>
      </c>
      <c r="C18" s="11" t="s">
        <v>119</v>
      </c>
    </row>
    <row r="19" spans="1:3" x14ac:dyDescent="0.25">
      <c r="A19" s="11" t="s">
        <v>123</v>
      </c>
      <c r="B19" s="11" t="s">
        <v>14</v>
      </c>
      <c r="C19" s="11" t="s">
        <v>121</v>
      </c>
    </row>
    <row r="20" spans="1:3" x14ac:dyDescent="0.25">
      <c r="A20" s="12" t="s">
        <v>209</v>
      </c>
      <c r="B20" s="12" t="s">
        <v>0</v>
      </c>
      <c r="C20" s="12" t="s">
        <v>119</v>
      </c>
    </row>
    <row r="21" spans="1:3" x14ac:dyDescent="0.25">
      <c r="A21" s="12" t="s">
        <v>209</v>
      </c>
      <c r="B21" s="12" t="s">
        <v>1</v>
      </c>
      <c r="C21" s="12" t="s">
        <v>119</v>
      </c>
    </row>
    <row r="22" spans="1:3" x14ac:dyDescent="0.25">
      <c r="A22" s="12" t="s">
        <v>209</v>
      </c>
      <c r="B22" s="12" t="s">
        <v>2</v>
      </c>
      <c r="C22" s="12" t="s">
        <v>119</v>
      </c>
    </row>
    <row r="23" spans="1:3" x14ac:dyDescent="0.25">
      <c r="A23" s="12" t="s">
        <v>209</v>
      </c>
      <c r="B23" s="12" t="s">
        <v>154</v>
      </c>
      <c r="C23" s="12" t="s">
        <v>119</v>
      </c>
    </row>
    <row r="24" spans="1:3" x14ac:dyDescent="0.25">
      <c r="A24" s="12" t="s">
        <v>209</v>
      </c>
      <c r="B24" s="12" t="s">
        <v>214</v>
      </c>
      <c r="C24" s="12" t="s">
        <v>119</v>
      </c>
    </row>
    <row r="25" spans="1:3" x14ac:dyDescent="0.25">
      <c r="A25" s="12" t="s">
        <v>209</v>
      </c>
      <c r="B25" s="12" t="s">
        <v>140</v>
      </c>
      <c r="C25" s="12" t="s">
        <v>122</v>
      </c>
    </row>
    <row r="26" spans="1:3" x14ac:dyDescent="0.25">
      <c r="A26" s="12" t="s">
        <v>209</v>
      </c>
      <c r="B26" s="12" t="s">
        <v>141</v>
      </c>
      <c r="C26" s="12" t="s">
        <v>122</v>
      </c>
    </row>
    <row r="27" spans="1:3" x14ac:dyDescent="0.25">
      <c r="A27" s="12" t="s">
        <v>209</v>
      </c>
      <c r="B27" s="12" t="s">
        <v>142</v>
      </c>
      <c r="C27" s="12" t="s">
        <v>122</v>
      </c>
    </row>
    <row r="28" spans="1:3" x14ac:dyDescent="0.25">
      <c r="A28" s="14" t="s">
        <v>168</v>
      </c>
      <c r="B28" s="14" t="s">
        <v>0</v>
      </c>
      <c r="C28" s="14" t="s">
        <v>119</v>
      </c>
    </row>
    <row r="29" spans="1:3" x14ac:dyDescent="0.25">
      <c r="A29" s="14" t="s">
        <v>168</v>
      </c>
      <c r="B29" s="14" t="s">
        <v>1</v>
      </c>
      <c r="C29" s="14" t="s">
        <v>119</v>
      </c>
    </row>
    <row r="30" spans="1:3" x14ac:dyDescent="0.25">
      <c r="A30" s="14" t="s">
        <v>168</v>
      </c>
      <c r="B30" s="14" t="s">
        <v>2</v>
      </c>
      <c r="C30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orbs</vt:lpstr>
      <vt:lpstr>glyphs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2026-09-01T13:46:48Z</dcterms:modified>
</cp:coreProperties>
</file>