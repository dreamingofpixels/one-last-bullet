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avernRPG\project\data\"/>
    </mc:Choice>
  </mc:AlternateContent>
  <xr:revisionPtr revIDLastSave="0" documentId="13_ncr:1_{247C1C74-3080-4F8F-AA46-9A3E60372FB7}" xr6:coauthVersionLast="47" xr6:coauthVersionMax="47" xr10:uidLastSave="{00000000-0000-0000-0000-000000000000}"/>
  <bookViews>
    <workbookView xWindow="-120" yWindow="-120" windowWidth="38640" windowHeight="21120" tabRatio="696" activeTab="8" xr2:uid="{00000000-000D-0000-FFFF-FFFF00000000}"/>
  </bookViews>
  <sheets>
    <sheet name="rooms" sheetId="1" r:id="rId1"/>
    <sheet name="objects" sheetId="2" r:id="rId2"/>
    <sheet name="objects_OLD" sheetId="3" state="hidden" r:id="rId3"/>
    <sheet name="recipes" sheetId="4" r:id="rId4"/>
    <sheet name="foods" sheetId="5" r:id="rId5"/>
    <sheet name="room_tags" sheetId="6" r:id="rId6"/>
    <sheet name="actions" sheetId="7" r:id="rId7"/>
    <sheet name="memories" sheetId="8" r:id="rId8"/>
    <sheet name="statuses" sheetId="9" r:id="rId9"/>
    <sheet name="guests" sheetId="10" r:id="rId10"/>
    <sheet name="staff" sheetId="11" r:id="rId11"/>
    <sheet name="traits" sheetId="12" r:id="rId12"/>
    <sheet name="input" sheetId="13" r:id="rId13"/>
    <sheet name="schema" sheetId="14" r:id="rId14"/>
    <sheet name="statuses_OLD" sheetId="15" r:id="rId15"/>
    <sheet name="memories_OLD" sheetId="16" r:id="rId16"/>
  </sheets>
  <definedNames>
    <definedName name="_xlnm._FilterDatabase" localSheetId="1" hidden="1">objects!$A$1:$W$53</definedName>
    <definedName name="_xlnm._FilterDatabase" localSheetId="2" hidden="1">objects_OLD!$A$1:$U$53</definedName>
    <definedName name="_xlnm._FilterDatabase" localSheetId="0" hidden="1">rooms!$A$1:$P$51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5" i="16"/>
  <c r="B24" i="16"/>
  <c r="B23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4" i="8"/>
  <c r="B23" i="8"/>
  <c r="B22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<sst xmlns="http://schemas.openxmlformats.org/spreadsheetml/2006/main" count="1191" uniqueCount="487">
  <si>
    <t>id</t>
  </si>
  <si>
    <t>name</t>
  </si>
  <si>
    <t>desc</t>
  </si>
  <si>
    <t>type</t>
  </si>
  <si>
    <t>action_1</t>
  </si>
  <si>
    <t>action_2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</si>
  <si>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</si>
  <si>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</si>
  <si>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</si>
  <si>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</si>
  <si>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</si>
  <si>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</si>
  <si>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</si>
  <si>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</si>
  <si>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</si>
  <si>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</si>
  <si>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</si>
  <si>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</si>
  <si>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</si>
  <si>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</si>
  <si>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check_in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</si>
  <si>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</si>
  <si>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</si>
  <si>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</si>
  <si>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</si>
  <si>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</si>
  <si>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</si>
  <si>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</si>
  <si>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</si>
  <si>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sleep</t>
  </si>
  <si>
    <t>Applies 3 [Comfortable]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</si>
  <si>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</si>
  <si>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</si>
  <si>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</si>
  <si>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</si>
  <si>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</si>
  <si>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</si>
  <si>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</si>
  <si>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</si>
  <si>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Applies 9 [Comfortable]</t>
  </si>
  <si>
    <t>budget_wardrobe</t>
  </si>
  <si>
    <t>Low Decor</t>
  </si>
  <si>
    <t>Wardrobe</t>
  </si>
  <si>
    <t>Applies 2 [Dazzled]</t>
  </si>
  <si>
    <t>res://objects/furniture/wardrobe/wardrobe.tscn</t>
  </si>
  <si>
    <t>res://objects/furniture/wardrobe/budget_wardrobe.png</t>
  </si>
  <si>
    <t>fine_wardrobe</t>
  </si>
  <si>
    <t>Average decor</t>
  </si>
  <si>
    <t>Applies 4 [Dazzled]</t>
  </si>
  <si>
    <t>res://objects/furniture/wardrobe/fine_wardrobe.png</t>
  </si>
  <si>
    <t>ornate_wardrobe</t>
  </si>
  <si>
    <t>Increases [Dazzled] effect with +1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</si>
  <si>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</si>
  <si>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</si>
  <si>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</si>
  <si>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</si>
  <si>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</si>
  <si>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</si>
  <si>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</si>
  <si>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</si>
  <si>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</si>
  <si>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</si>
  <si>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</si>
  <si>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</si>
  <si>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</si>
  <si>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</si>
  <si>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Applies 1 [Dazzled]</t>
  </si>
  <si>
    <t>res://objects/decor/plants/plant.tscn</t>
  </si>
  <si>
    <t>res://objects/decor/plants/small_houseplant.png</t>
  </si>
  <si>
    <t>big_houseplant</t>
  </si>
  <si>
    <t>Applies 3 [Dazzled]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</si>
  <si>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</si>
  <si>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</si>
  <si>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</si>
  <si>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</si>
  <si>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</si>
  <si>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</si>
  <si>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order_food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</si>
  <si>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</si>
  <si>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</si>
  <si>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</si>
  <si>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</si>
  <si>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</si>
  <si>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</si>
  <si>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</si>
  <si>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</si>
  <si>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</si>
  <si>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</si>
  <si>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</si>
  <si>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</si>
  <si>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sit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</si>
  <si>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</si>
  <si>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</si>
  <si>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</si>
  <si>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</si>
  <si>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</si>
  <si>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store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</si>
  <si>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</si>
  <si>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</si>
  <si>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</si>
  <si>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</si>
  <si>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</si>
  <si>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</si>
  <si>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</si>
  <si>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</si>
  <si>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</si>
  <si>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</si>
  <si>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</si>
  <si>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</si>
  <si>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</si>
  <si>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</si>
  <si>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</si>
  <si>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</si>
  <si>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</si>
  <si>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</si>
  <si>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</si>
  <si>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</si>
  <si>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</si>
  <si>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</si>
  <si>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</si>
  <si>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</si>
  <si>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</si>
  <si>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</si>
  <si>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</si>
  <si>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tag_1</t>
  </si>
  <si>
    <t>tag_2</t>
  </si>
  <si>
    <t>tag_3</t>
  </si>
  <si>
    <t>effect_desc</t>
  </si>
  <si>
    <t>level_value_1</t>
  </si>
  <si>
    <t>level_value_2</t>
  </si>
  <si>
    <t>level_value_3</t>
  </si>
  <si>
    <t>effect_counter</t>
  </si>
  <si>
    <t>req_room_adjacency</t>
  </si>
  <si>
    <t>room_size_cap</t>
  </si>
  <si>
    <t>placeable_budget</t>
  </si>
  <si>
    <t>scene_path</t>
  </si>
  <si>
    <t>cozy_cot</t>
  </si>
  <si>
    <t>Simple bedroom with place for two beds</t>
  </si>
  <si>
    <t>Comfort for guests staying here can never drop below {value}</t>
  </si>
  <si>
    <t>{1:10, 2:10, 3:16, 4: 23}</t>
  </si>
  <si>
    <t>res://areas/rooms/bedroom/cozy_cot.tscn</t>
  </si>
  <si>
    <t>dormitory</t>
  </si>
  <si>
    <t>Place for many people</t>
  </si>
  <si>
    <t>Gives permanent access to {value}</t>
  </si>
  <si>
    <t>Bunk Beds</t>
  </si>
  <si>
    <t>Bunk Beds +</t>
  </si>
  <si>
    <t>Bunk Beds ++</t>
  </si>
  <si>
    <t>{1:6, 2:12, 3:18, 4: 24}</t>
  </si>
  <si>
    <t>res://areas/rooms/bedroom/dormitory.tscn</t>
  </si>
  <si>
    <t>communal_hall</t>
  </si>
  <si>
    <t>A place to order food and eat</t>
  </si>
  <si>
    <t>loud</t>
  </si>
  <si>
    <t>{value} per 4 guests in the Dining Hall.</t>
  </si>
  <si>
    <t>'1 [Entertained]</t>
  </si>
  <si>
    <t>'2 [Entertained]</t>
  </si>
  <si>
    <t>'3 [Entertained]</t>
  </si>
  <si>
    <t>res://areas/rooms/dining_hall/communal_hall.tscn</t>
  </si>
  <si>
    <t>serving_kitchen</t>
  </si>
  <si>
    <t>Removes penalty for eating while standing</t>
  </si>
  <si>
    <t>{value}</t>
  </si>
  <si>
    <t>Removes Standing Supper status</t>
  </si>
  <si>
    <t>Replaces Standing Supper status with On the Go</t>
  </si>
  <si>
    <t>Replaces Standing Supper status with Stand and Savor</t>
  </si>
  <si>
    <t>{1:4, 2:9, 3:14, 4: 20}</t>
  </si>
  <si>
    <t>res://areas/rooms/kitchen/serving_kitchen.tscn</t>
  </si>
  <si>
    <t>bakers_nook</t>
  </si>
  <si>
    <t>Baked recipes yield {value}</t>
  </si>
  <si>
    <t>1 portion</t>
  </si>
  <si>
    <t>2 portion</t>
  </si>
  <si>
    <t>3 portion</t>
  </si>
  <si>
    <t>{1:4, 2:9, 3:14}</t>
  </si>
  <si>
    <t>butchers_block</t>
  </si>
  <si>
    <t>{value} chance of not consuming meat input</t>
  </si>
  <si>
    <t>{1:4, 2:9}</t>
  </si>
  <si>
    <t>coozy_hearth</t>
  </si>
  <si>
    <t>Doubles any comfort or decor in this room</t>
  </si>
  <si>
    <t>Increase any comfort or decor in this room by {value}</t>
  </si>
  <si>
    <t>{1:6, 2:12, 3:18}</t>
  </si>
  <si>
    <t>prep_room</t>
  </si>
  <si>
    <t>Prepare food</t>
  </si>
  <si>
    <t>{value} cooking speed in adjacent rooms</t>
  </si>
  <si>
    <t>{1:6}</t>
  </si>
  <si>
    <t>res://areas/rooms/kitchen/prep_room.tscn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</si>
  <si>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</si>
  <si>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</si>
  <si>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</si>
  <si>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</si>
  <si>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</si>
  <si>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</si>
  <si>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</si>
  <si>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cooking_difficulty</t>
  </si>
  <si>
    <t>input_item_1</t>
  </si>
  <si>
    <t>input_item_1_quantity</t>
  </si>
  <si>
    <t>input_item_2</t>
  </si>
  <si>
    <t>input_item_2_quantity</t>
  </si>
  <si>
    <t>output_item</t>
  </si>
  <si>
    <t>output_item_quantity</t>
  </si>
  <si>
    <t>cook_time</t>
  </si>
  <si>
    <t>cooked_meat_recipe</t>
  </si>
  <si>
    <t>Cooked Meat</t>
  </si>
  <si>
    <t>Recipe for meat and some veggies</t>
  </si>
  <si>
    <t>raw_meat</t>
  </si>
  <si>
    <t>cooked_meat</t>
  </si>
  <si>
    <t>chicken_soup_recipe</t>
  </si>
  <si>
    <t>Chicken Soup</t>
  </si>
  <si>
    <t>Recipe for a hearty soup</t>
  </si>
  <si>
    <t>raw_chicken</t>
  </si>
  <si>
    <t>broth</t>
  </si>
  <si>
    <t>chicken_soup</t>
  </si>
  <si>
    <t>base_quality</t>
  </si>
  <si>
    <t>Meat and some veggies</t>
  </si>
  <si>
    <t>res://items/nourishment/food/cooked_meat.png</t>
  </si>
  <si>
    <t>A hearty soup</t>
  </si>
  <si>
    <t>Applies 3 [Filled]</t>
  </si>
  <si>
    <t>res://items/nourishment/food/chicken_soup.png</t>
  </si>
  <si>
    <t>Guest and staff sleep here</t>
  </si>
  <si>
    <t>Staff cooks food here</t>
  </si>
  <si>
    <t>brewing</t>
  </si>
  <si>
    <t>Staff brews beverages here</t>
  </si>
  <si>
    <t>Staff serves food here</t>
  </si>
  <si>
    <t>growing</t>
  </si>
  <si>
    <t>Staff grow plants here</t>
  </si>
  <si>
    <t>crafting</t>
  </si>
  <si>
    <t>Staff crafts items here</t>
  </si>
  <si>
    <t>quiet</t>
  </si>
  <si>
    <t>Room does not produce noise</t>
  </si>
  <si>
    <t>Room produces noise</t>
  </si>
  <si>
    <t>Guests fullfills a hygiene need here</t>
  </si>
  <si>
    <t>cozy</t>
  </si>
  <si>
    <t>Small room, high decor</t>
  </si>
  <si>
    <t>cramped</t>
  </si>
  <si>
    <t>Small room, all object spots filled</t>
  </si>
  <si>
    <t>lavish</t>
  </si>
  <si>
    <t>High decor</t>
  </si>
  <si>
    <t>austere</t>
  </si>
  <si>
    <t>No optional objects added</t>
  </si>
  <si>
    <t>damp</t>
  </si>
  <si>
    <t>sacred</t>
  </si>
  <si>
    <t>seedy</t>
  </si>
  <si>
    <t>trading</t>
  </si>
  <si>
    <t>Merchant sell goods here</t>
  </si>
  <si>
    <t>performing</t>
  </si>
  <si>
    <t>A performance takes place here</t>
  </si>
  <si>
    <t>Check In</t>
  </si>
  <si>
    <t>Guests register their stay</t>
  </si>
  <si>
    <t>Sleep</t>
  </si>
  <si>
    <t>Guests can sleep here</t>
  </si>
  <si>
    <t>Order Food</t>
  </si>
  <si>
    <t>Guests place food orders here</t>
  </si>
  <si>
    <t>Cook</t>
  </si>
  <si>
    <t>Staff can cook recipes here</t>
  </si>
  <si>
    <t>Sit</t>
  </si>
  <si>
    <t>Guests can sit here</t>
  </si>
  <si>
    <t>Store</t>
  </si>
  <si>
    <t>Store items</t>
  </si>
  <si>
    <t>group_id</t>
  </si>
  <si>
    <t>stage</t>
  </si>
  <si>
    <t>trigger_condition</t>
  </si>
  <si>
    <t>progress_condition</t>
  </si>
  <si>
    <t>progress_goal</t>
  </si>
  <si>
    <t>flavor_text</t>
  </si>
  <si>
    <t>satisfaction</t>
  </si>
  <si>
    <t>inedible_mess</t>
  </si>
  <si>
    <t>horrible_meal</t>
  </si>
  <si>
    <t>Ate several horrible meals</t>
  </si>
  <si>
    <t>After eating: cumulative meal_mood -15 – -9</t>
  </si>
  <si>
    <t>MEAL_BAND_INEDIBLE</t>
  </si>
  <si>
    <t>A crime against cookery.</t>
  </si>
  <si>
    <t>disappointing_plate</t>
  </si>
  <si>
    <t>bad_meal</t>
  </si>
  <si>
    <t>Ate several bad meals</t>
  </si>
  <si>
    <t>After eating: cumulative meal_mood -8 – 0</t>
  </si>
  <si>
    <t>MEAL_BAND_DISAPPOINTING</t>
  </si>
  <si>
    <t>Food-shaped disappointment.</t>
  </si>
  <si>
    <t>plain_but_filling</t>
  </si>
  <si>
    <t>decent_meal</t>
  </si>
  <si>
    <t>Ate several decent meals</t>
  </si>
  <si>
    <t>After eating: cumulative meal_mood 1 – 8</t>
  </si>
  <si>
    <t>MEAL_BAND_PLAIN</t>
  </si>
  <si>
    <t>Dull, but it lands.</t>
  </si>
  <si>
    <t>solid_meal</t>
  </si>
  <si>
    <t>good_meal</t>
  </si>
  <si>
    <t>Ate several good meals</t>
  </si>
  <si>
    <t>After eating: cumulative meal_mood 9 – 19</t>
  </si>
  <si>
    <t>MEAL_BAND_SOLID</t>
  </si>
  <si>
    <t>Does what food should</t>
  </si>
  <si>
    <t>memorable_feast</t>
  </si>
  <si>
    <t>fantastic_meal</t>
  </si>
  <si>
    <t>Ate several a fantastic meals</t>
  </si>
  <si>
    <t>After eating: cumulative meal_mood 20+</t>
  </si>
  <si>
    <t>MEAL_BAND_MEMORABLE</t>
  </si>
  <si>
    <t>A plate worth a story.</t>
  </si>
  <si>
    <t>standing_supper</t>
  </si>
  <si>
    <t>Ate without a table</t>
  </si>
  <si>
    <t>When eating without a reserved seat</t>
  </si>
  <si>
    <t>Ate well. Sat nowhere.</t>
  </si>
  <si>
    <t>visibly_unimpressed</t>
  </si>
  <si>
    <t>decor_bad</t>
  </si>
  <si>
    <t>Was disgusted by surroundings</t>
  </si>
  <si>
    <t>While Dazzled = x 0</t>
  </si>
  <si>
    <t>dazzled * min</t>
  </si>
  <si>
    <t>Decor by someone who gave up halfway.</t>
  </si>
  <si>
    <t>passable_surroundings</t>
  </si>
  <si>
    <t>decor_good</t>
  </si>
  <si>
    <t>Was slightly impressed with surroundings</t>
  </si>
  <si>
    <t>While Dazzled &gt;= x 2</t>
  </si>
  <si>
    <t>Not embarrassing to be seen in.</t>
  </si>
  <si>
    <t>pleasant_ambience</t>
  </si>
  <si>
    <t>Was impressed with surroundings</t>
  </si>
  <si>
    <t>While Dazzled &gt;= x 5</t>
  </si>
  <si>
    <t>Finery that earns a nod.</t>
  </si>
  <si>
    <t>tasteful_trim</t>
  </si>
  <si>
    <t>Was really impressed with surroundings</t>
  </si>
  <si>
    <t>While Dazzled &gt;= x 8</t>
  </si>
  <si>
    <t>No curtain crimes detected.</t>
  </si>
  <si>
    <t>stunned_by_splendor</t>
  </si>
  <si>
    <t>Was astounded by the surroundings</t>
  </si>
  <si>
    <t>While Dazzled &gt;= x 10</t>
  </si>
  <si>
    <t>Worth the coin for the walls alone.</t>
  </si>
  <si>
    <t>perched_on_pine</t>
  </si>
  <si>
    <t>seating_comfort_bad</t>
  </si>
  <si>
    <t>Sat uncomfortably</t>
  </si>
  <si>
    <t>While seated: furniture comfort 0 - 1</t>
  </si>
  <si>
    <t>min</t>
  </si>
  <si>
    <t>More enduring then sitting</t>
  </si>
  <si>
    <t>comfy</t>
  </si>
  <si>
    <t>comfort_good</t>
  </si>
  <si>
    <t>Was comfortable</t>
  </si>
  <si>
    <t>While Comfortable &gt;= x 4</t>
  </si>
  <si>
    <t>comfortable * min</t>
  </si>
  <si>
    <t>Decent enough that leaving feels optional</t>
  </si>
  <si>
    <t>well_cushioned</t>
  </si>
  <si>
    <t>Was very comfortable</t>
  </si>
  <si>
    <t>While Comfortable &gt;= x 7</t>
  </si>
  <si>
    <t>Rest so good it almost feels impolite</t>
  </si>
  <si>
    <t>restless_night</t>
  </si>
  <si>
    <t>sleep_comfort_bad</t>
  </si>
  <si>
    <t>Slept badly</t>
  </si>
  <si>
    <t>While sleeping: sleep_quality &lt;= 3</t>
  </si>
  <si>
    <t>average sleep_quality</t>
  </si>
  <si>
    <t>sound_sleep</t>
  </si>
  <si>
    <t>sleep_comfort_good</t>
  </si>
  <si>
    <t>Slept good</t>
  </si>
  <si>
    <t>While sleeping: average sleep_quality &gt;= 4</t>
  </si>
  <si>
    <t>sleep_quality * min</t>
  </si>
  <si>
    <t>cloud_nine</t>
  </si>
  <si>
    <t>Slept great</t>
  </si>
  <si>
    <t>While sleeping: average sleep_quality &gt;= 7</t>
  </si>
  <si>
    <t>hungry</t>
  </si>
  <si>
    <t>nourishment_low</t>
  </si>
  <si>
    <t>Was hungry for a long time</t>
  </si>
  <si>
    <t>When nourishment &lt;20% for &gt; 180 min</t>
  </si>
  <si>
    <t>starving</t>
  </si>
  <si>
    <t>Was starving for a long time</t>
  </si>
  <si>
    <t>When nourishment &lt;20% for &gt; 500 min</t>
  </si>
  <si>
    <t>debug_low_happiness</t>
  </si>
  <si>
    <t>While debugging</t>
  </si>
  <si>
    <t>debug_medium_happiness</t>
  </si>
  <si>
    <t>debug_high_happiness</t>
  </si>
  <si>
    <t>effect_1</t>
  </si>
  <si>
    <t>effect_2</t>
  </si>
  <si>
    <t>effect_3</t>
  </si>
  <si>
    <t>duration_hours</t>
  </si>
  <si>
    <t>additive</t>
  </si>
  <si>
    <t>slot</t>
  </si>
  <si>
    <t>typical_sources</t>
  </si>
  <si>
    <t>comfortable</t>
  </si>
  <si>
    <t>Comfortable</t>
  </si>
  <si>
    <t>chairs, beds</t>
  </si>
  <si>
    <t>filled</t>
  </si>
  <si>
    <t>Filled</t>
  </si>
  <si>
    <t>food, drink</t>
  </si>
  <si>
    <t>dazzled</t>
  </si>
  <si>
    <t>Dazzled</t>
  </si>
  <si>
    <t>10 decor per stack</t>
  </si>
  <si>
    <t>room ambient / sums across objects</t>
  </si>
  <si>
    <t>entertained</t>
  </si>
  <si>
    <t>Entertained</t>
  </si>
  <si>
    <t>services, performances</t>
  </si>
  <si>
    <t>reassured</t>
  </si>
  <si>
    <t>Reassured</t>
  </si>
  <si>
    <t>stationed guards, objects</t>
  </si>
  <si>
    <t>thirsty</t>
  </si>
  <si>
    <t>Thirsty</t>
  </si>
  <si>
    <t>+50% nourishment decay</t>
  </si>
  <si>
    <t>salty food</t>
  </si>
  <si>
    <t>bloated</t>
  </si>
  <si>
    <t>Bloated</t>
  </si>
  <si>
    <t>-100% nourishment decay</t>
  </si>
  <si>
    <t>+30% comfort decay</t>
  </si>
  <si>
    <t>fried food</t>
  </si>
  <si>
    <t>savoring</t>
  </si>
  <si>
    <t>Savoring</t>
  </si>
  <si>
    <t>+1 satisfaction gain from food</t>
  </si>
  <si>
    <t>exotic recipes</t>
  </si>
  <si>
    <t>famished</t>
  </si>
  <si>
    <t>Famished</t>
  </si>
  <si>
    <t>-20% fun recovery</t>
  </si>
  <si>
    <t>long wait for nourishment</t>
  </si>
  <si>
    <t>nauseated</t>
  </si>
  <si>
    <t>Nauseated</t>
  </si>
  <si>
    <t>+100% nourishment decay</t>
  </si>
  <si>
    <t>blocks Eating</t>
  </si>
  <si>
    <t>from eating really badly made food</t>
  </si>
  <si>
    <t>content</t>
  </si>
  <si>
    <t>Content</t>
  </si>
  <si>
    <t>blocks the next bad memory progress</t>
  </si>
  <si>
    <t>apalled</t>
  </si>
  <si>
    <t>Apalled</t>
  </si>
  <si>
    <t>+20% decor decay</t>
  </si>
  <si>
    <t>disturbed</t>
  </si>
  <si>
    <t>Disturbed</t>
  </si>
  <si>
    <t>loud rooms and activities</t>
  </si>
  <si>
    <t>soothed</t>
  </si>
  <si>
    <t>Soothed</t>
  </si>
  <si>
    <t>generous</t>
  </si>
  <si>
    <t>Tips 10% on all purchases</t>
  </si>
  <si>
    <t>stingy</t>
  </si>
  <si>
    <t>Lowers WTP by 10%</t>
  </si>
  <si>
    <t>fancy</t>
  </si>
  <si>
    <t>Whenever Dazzled is applied, apply 1 less</t>
  </si>
  <si>
    <t>objects</t>
  </si>
  <si>
    <t>sheet</t>
  </si>
  <si>
    <t>column</t>
  </si>
  <si>
    <t>rooms</t>
  </si>
  <si>
    <t>string</t>
  </si>
  <si>
    <t>int</t>
  </si>
  <si>
    <t>dict</t>
  </si>
  <si>
    <t>boolean</t>
  </si>
  <si>
    <t>recipes</t>
  </si>
  <si>
    <t>float</t>
  </si>
  <si>
    <t>foods</t>
  </si>
  <si>
    <t>room_tags</t>
  </si>
  <si>
    <t>actions</t>
  </si>
  <si>
    <t>memories</t>
  </si>
  <si>
    <t>statuses</t>
  </si>
  <si>
    <t>happiness_effect</t>
  </si>
  <si>
    <t>duration_hour</t>
  </si>
  <si>
    <t>meal_quality</t>
  </si>
  <si>
    <t>communal_spirit</t>
  </si>
  <si>
    <t>While in Communal Hall: +1 happiness per 2 guests in room</t>
  </si>
  <si>
    <t>Shared table, shared warmth.</t>
  </si>
  <si>
    <t>dining_hall</t>
  </si>
  <si>
    <t>eating_arrangement</t>
  </si>
  <si>
    <t>While in a room: decor need &lt; 20%</t>
  </si>
  <si>
    <t>While in a room: decor need 20% - 39%</t>
  </si>
  <si>
    <t>While in a room: decor need 40% - 59%</t>
  </si>
  <si>
    <t>While in a room: decor need 60% - 79%</t>
  </si>
  <si>
    <t>While in a room: decor need 80% - 100%</t>
  </si>
  <si>
    <t>While seated: furniture comfort 0</t>
  </si>
  <si>
    <t>sitting_comfort</t>
  </si>
  <si>
    <t>comfy_seat</t>
  </si>
  <si>
    <t>While seated: furniture comfort 4 – 6</t>
  </si>
  <si>
    <t>While seated: furniture comfort 7+</t>
  </si>
  <si>
    <t>While sleeping: sleep_quality 0 - 3</t>
  </si>
  <si>
    <t>sleeping_quality</t>
  </si>
  <si>
    <t>While sleeping: sleep_quality 4 - 7</t>
  </si>
  <si>
    <t>While sleeping: sleep_quality 7 - 10</t>
  </si>
  <si>
    <t>debug</t>
  </si>
  <si>
    <t>tier</t>
  </si>
  <si>
    <t>decor_level * min</t>
  </si>
  <si>
    <t>seating_comfort_good</t>
  </si>
  <si>
    <t>Sat quite nicely</t>
  </si>
  <si>
    <t>chair_comfort * min</t>
  </si>
  <si>
    <t>Sat real nicely</t>
  </si>
  <si>
    <t>bed_comfort * min</t>
  </si>
  <si>
    <t>Applies 2 [Comfortable]</t>
  </si>
  <si>
    <t>10% nourishment recovery per stack</t>
  </si>
  <si>
    <t>Applies 2 [Filled]</t>
  </si>
  <si>
    <t>5% comfort recovery per stack</t>
  </si>
  <si>
    <t>5% fun recovery per stack</t>
  </si>
  <si>
    <t>5% security recovery per stack</t>
  </si>
  <si>
    <t>Whenever a guest need is full, gain 1 Generous</t>
  </si>
  <si>
    <t>Queued a long time</t>
  </si>
  <si>
    <t>When in queue &gt; 180 min</t>
  </si>
  <si>
    <t>slow_queue</t>
  </si>
  <si>
    <t>Overstuffed</t>
  </si>
  <si>
    <t>overstuffed</t>
  </si>
  <si>
    <t>Got Nauseated &gt;= 3 times</t>
  </si>
  <si>
    <t>Sick a lot</t>
  </si>
  <si>
    <t>Total Bloated ≥ 5</t>
  </si>
  <si>
    <t>same recipe 3 meals in a row</t>
  </si>
  <si>
    <t>4+ distinct recipes during stay</t>
  </si>
  <si>
    <t>-100% security decay</t>
  </si>
  <si>
    <t>safe</t>
  </si>
  <si>
    <t>Safe</t>
  </si>
  <si>
    <t>Converts all Comfortable above 5 into Satisfaction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</si>
</sst>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3" fillId="0" borderId="0" xfId="0" applyFont="1"/>
    <xf numFmtId="9" fontId="0" fillId="0" borderId="0" xfId="0" quotePrefix="1" applyNumberFormat="1"/>
  </cellXfs>
  <cellStyles count="1">
    <cellStyle name="Normal" xfId="0" builtinId="0"/>
  </cellStyles>
  <dxfs count="7"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A8A8A"/>
        </patternFill>
      </fill>
    </dxf>
    <dxf>
      <fill>
        <patternFill>
          <bgColor rgb="FF918CEC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P51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defaultRowHeight="15" x14ac:dyDescent="0.25"/>
  <cols>
    <col min="1" max="1" width="19.42578125" customWidth="1"/>
    <col min="2" max="2" width="17.5703125" customWidth="1"/>
    <col min="3" max="3" width="48.85546875" customWidth="1"/>
    <col min="4" max="6" width="12.5703125" customWidth="1"/>
    <col min="7" max="7" width="57.42578125" customWidth="1"/>
    <col min="8" max="8" width="30.42578125" bestFit="1" customWidth="1"/>
    <col min="9" max="10" width="15.7109375" bestFit="1" customWidth="1"/>
    <col min="11" max="11" width="18" customWidth="1"/>
    <col min="12" max="12" width="26.7109375" customWidth="1"/>
    <col min="13" max="13" width="18.28515625" customWidth="1"/>
    <col min="14" max="14" width="23.28515625" customWidth="1"/>
    <col min="15" max="15" width="47" customWidth="1"/>
  </cols>
  <sheetData>
    <row r="1" spans="1:16" x14ac:dyDescent="0.25">
      <c r="A1" s="4" t="s">
        <v>0</v>
      </c>
      <c r="B1" s="4" t="s">
        <v>1</v>
      </c>
      <c r="C1" s="4" t="s">
        <v>2</v>
      </c>
      <c r="D1" s="7" t="s">
        <v>124</v>
      </c>
      <c r="E1" s="7" t="s">
        <v>125</v>
      </c>
      <c r="F1" s="7" t="s">
        <v>126</v>
      </c>
      <c r="G1" s="4" t="s">
        <v>127</v>
      </c>
      <c r="H1" s="9" t="s">
        <v>128</v>
      </c>
      <c r="I1" s="9" t="s">
        <v>129</v>
      </c>
      <c r="J1" s="9" t="s">
        <v>130</v>
      </c>
      <c r="K1" s="4" t="s">
        <v>131</v>
      </c>
      <c r="L1" s="4" t="s">
        <v>132</v>
      </c>
      <c r="M1" s="8" t="s">
        <v>133</v>
      </c>
      <c r="N1" s="8" t="s">
        <v>134</v>
      </c>
      <c r="O1" s="4" t="s">
        <v>135</v>
      </c>
      <c r="P1" s="4" t="s">
        <v>16</v>
      </c>
    </row>
    <row r="2" spans="1:16" x14ac:dyDescent="0.25">
      <c r="A2" t="s">
        <v>136</v>
      </c>
      <c r="B2" t="str">
        <f t="shared" ref="B2:B33" si="0">PROPER(SUBSTITUTE(A2,"_"," "))</f>
        <v>Cozy Cot</v>
      </c>
      <c r="C2" t="s">
        <v>137</v>
      </c>
      <c r="D2" t="s">
        <v>26</v>
      </c>
      <c r="G2" t="s">
        <v>138</v>
      </c>
      <c r="H2" s="6">
        <v>0.1</v>
      </c>
      <c r="I2" s="6">
        <v>0.2</v>
      </c>
      <c r="J2" s="6">
        <v>0.3</v>
      </c>
      <c r="K2" t="b">
        <v>0</v>
      </c>
      <c r="M2">
        <v>4</v>
      </c>
      <c r="N2" t="s">
        <v>139</v>
      </c>
      <c r="O2" t="s">
        <v>140</v>
      </c>
      <c r="P2" t="b">
        <v>1</v>
      </c>
    </row>
    <row r="3" spans="1:16" x14ac:dyDescent="0.25">
      <c r="A3" t="s">
        <v>141</v>
      </c>
      <c r="B3" t="str">
        <f t="shared" si="0"/>
        <v>Dormitory</v>
      </c>
      <c r="C3" t="s">
        <v>142</v>
      </c>
      <c r="D3" t="s">
        <v>26</v>
      </c>
      <c r="G3" t="s">
        <v>143</v>
      </c>
      <c r="H3" t="s">
        <v>144</v>
      </c>
      <c r="I3" t="s">
        <v>145</v>
      </c>
      <c r="J3" t="s">
        <v>146</v>
      </c>
      <c r="K3" t="b">
        <v>0</v>
      </c>
      <c r="M3">
        <v>4</v>
      </c>
      <c r="N3" t="s">
        <v>147</v>
      </c>
      <c r="O3" t="s">
        <v>148</v>
      </c>
      <c r="P3" t="b">
        <v>1</v>
      </c>
    </row>
    <row r="4" spans="1:16" x14ac:dyDescent="0.25">
      <c r="A4" t="s">
        <v>149</v>
      </c>
      <c r="B4" t="str">
        <f t="shared" si="0"/>
        <v>Communal Hall</v>
      </c>
      <c r="C4" t="s">
        <v>150</v>
      </c>
      <c r="D4" t="s">
        <v>78</v>
      </c>
      <c r="E4" t="s">
        <v>151</v>
      </c>
      <c r="G4" s="1" t="s">
        <v>152</v>
      </c>
      <c r="H4" s="1" t="s">
        <v>153</v>
      </c>
      <c r="I4" s="1" t="s">
        <v>154</v>
      </c>
      <c r="J4" s="1" t="s">
        <v>155</v>
      </c>
      <c r="K4" s="1" t="b">
        <v>1</v>
      </c>
      <c r="M4">
        <v>4</v>
      </c>
      <c r="N4" t="s">
        <v>147</v>
      </c>
      <c r="O4" t="s">
        <v>156</v>
      </c>
      <c r="P4" t="b">
        <v>1</v>
      </c>
    </row>
    <row r="5" spans="1:16" x14ac:dyDescent="0.25">
      <c r="A5" t="s">
        <v>157</v>
      </c>
      <c r="B5" t="str">
        <f t="shared" si="0"/>
        <v>Serving Kitchen</v>
      </c>
      <c r="C5" t="s">
        <v>158</v>
      </c>
      <c r="D5" t="s">
        <v>85</v>
      </c>
      <c r="G5" t="s">
        <v>159</v>
      </c>
      <c r="H5" t="s">
        <v>160</v>
      </c>
      <c r="I5" t="s">
        <v>161</v>
      </c>
      <c r="J5" t="s">
        <v>162</v>
      </c>
      <c r="K5" t="b">
        <v>0</v>
      </c>
      <c r="M5">
        <v>4</v>
      </c>
      <c r="N5" t="s">
        <v>163</v>
      </c>
      <c r="O5" t="s">
        <v>164</v>
      </c>
      <c r="P5" t="b">
        <v>1</v>
      </c>
    </row>
    <row r="6" spans="1:16" x14ac:dyDescent="0.25">
      <c r="A6" t="s">
        <v>165</v>
      </c>
      <c r="B6" t="str">
        <f t="shared" si="0"/>
        <v>Bakers Nook</v>
      </c>
      <c r="D6" t="s">
        <v>85</v>
      </c>
      <c r="G6" t="s">
        <v>166</v>
      </c>
      <c r="H6" s="1" t="s">
        <v>167</v>
      </c>
      <c r="I6" s="1" t="s">
        <v>168</v>
      </c>
      <c r="J6" s="1" t="s">
        <v>169</v>
      </c>
      <c r="K6" t="b">
        <v>0</v>
      </c>
      <c r="M6">
        <v>3</v>
      </c>
      <c r="N6" t="s">
        <v>170</v>
      </c>
      <c r="P6" t="b">
        <v>0</v>
      </c>
    </row>
    <row r="7" spans="1:16" x14ac:dyDescent="0.25">
      <c r="A7" t="s">
        <v>171</v>
      </c>
      <c r="B7" t="str">
        <f t="shared" si="0"/>
        <v>Butchers Block</v>
      </c>
      <c r="D7" t="s">
        <v>85</v>
      </c>
      <c r="G7" t="s">
        <v>172</v>
      </c>
      <c r="H7" s="6">
        <v>0.15</v>
      </c>
      <c r="I7" s="6">
        <v>0.3</v>
      </c>
      <c r="J7" s="6">
        <v>0.45</v>
      </c>
      <c r="K7" t="b">
        <v>0</v>
      </c>
      <c r="M7">
        <v>2</v>
      </c>
      <c r="N7" t="s">
        <v>173</v>
      </c>
      <c r="P7" t="b">
        <v>0</v>
      </c>
    </row>
    <row r="8" spans="1:16" x14ac:dyDescent="0.25">
      <c r="A8" t="s">
        <v>174</v>
      </c>
      <c r="B8" t="str">
        <f t="shared" si="0"/>
        <v>Coozy Hearth</v>
      </c>
      <c r="C8" t="s">
        <v>175</v>
      </c>
      <c r="D8" t="s">
        <v>85</v>
      </c>
      <c r="G8" t="s">
        <v>176</v>
      </c>
      <c r="H8" s="6">
        <v>0.5</v>
      </c>
      <c r="I8" s="6">
        <v>1</v>
      </c>
      <c r="J8" s="6">
        <v>1.5</v>
      </c>
      <c r="K8" t="b">
        <v>0</v>
      </c>
      <c r="M8">
        <v>3</v>
      </c>
      <c r="N8" t="s">
        <v>177</v>
      </c>
      <c r="P8" t="b">
        <v>0</v>
      </c>
    </row>
    <row r="9" spans="1:16" x14ac:dyDescent="0.25">
      <c r="A9" t="s">
        <v>178</v>
      </c>
      <c r="B9" t="str">
        <f t="shared" si="0"/>
        <v>Prep Room</v>
      </c>
      <c r="C9" t="s">
        <v>179</v>
      </c>
      <c r="D9" t="s">
        <v>85</v>
      </c>
      <c r="G9" t="s">
        <v>180</v>
      </c>
      <c r="H9" s="6">
        <v>0.2</v>
      </c>
      <c r="I9" s="6">
        <v>0.4</v>
      </c>
      <c r="J9" s="6">
        <v>0.6</v>
      </c>
      <c r="K9" t="b">
        <v>0</v>
      </c>
      <c r="M9">
        <v>1</v>
      </c>
      <c r="N9" t="s">
        <v>181</v>
      </c>
      <c r="O9" t="s">
        <v>182</v>
      </c>
      <c r="P9" t="b">
        <v>1</v>
      </c>
    </row>
    <row r="10" spans="1:16" x14ac:dyDescent="0.25">
      <c r="B10" t="str">
        <f t="shared" si="0"/>
        <v/>
      </c>
      <c r="G10" t="s">
        <v>472</v>
      </c>
    </row>
    <row r="11" spans="1:16" x14ac:dyDescent="0.25">
      <c r="B11" t="str">
        <f t="shared" si="0"/>
        <v/>
      </c>
      <c r="G11" t="s">
        <v>486</v>
      </c>
    </row>
    <row r="12" spans="1:16" x14ac:dyDescent="0.25">
      <c r="B12" t="str">
        <f t="shared" si="0"/>
        <v/>
      </c>
    </row>
    <row r="13" spans="1:16" x14ac:dyDescent="0.25">
      <c r="B13" t="str">
        <f t="shared" si="0"/>
        <v/>
      </c>
    </row>
    <row r="14" spans="1:16" x14ac:dyDescent="0.25">
      <c r="B14" t="str">
        <f t="shared" si="0"/>
        <v/>
      </c>
    </row>
    <row r="15" spans="1:16" x14ac:dyDescent="0.25">
      <c r="B15" t="str">
        <f t="shared" si="0"/>
        <v/>
      </c>
    </row>
    <row r="16" spans="1:16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si="0"/>
        <v/>
      </c>
    </row>
    <row r="28" spans="2:2" x14ac:dyDescent="0.25">
      <c r="B28" t="str">
        <f t="shared" si="0"/>
        <v/>
      </c>
    </row>
    <row r="29" spans="2:2" x14ac:dyDescent="0.25">
      <c r="B29" t="str">
        <f t="shared" si="0"/>
        <v/>
      </c>
    </row>
    <row r="30" spans="2:2" x14ac:dyDescent="0.25">
      <c r="B30" t="str">
        <f t="shared" si="0"/>
        <v/>
      </c>
    </row>
    <row r="31" spans="2:2" x14ac:dyDescent="0.25">
      <c r="B31" t="str">
        <f t="shared" si="0"/>
        <v/>
      </c>
    </row>
    <row r="32" spans="2:2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1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</sheetData>
  <autoFilter ref="A1:P5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8" tint="0.59999389629810485"/>
  </sheetPr>
  <dimension ref="A1:Q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8" sqref="E28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5" width="19.85546875" customWidth="1"/>
    <col min="6" max="6" width="13.28515625" customWidth="1"/>
    <col min="7" max="7" width="36.5703125" customWidth="1"/>
    <col min="8" max="8" width="13.140625" customWidth="1"/>
    <col min="9" max="9" width="19.5703125" customWidth="1"/>
    <col min="10" max="10" width="13.140625" customWidth="1"/>
    <col min="11" max="11" width="13.28515625" customWidth="1"/>
    <col min="12" max="13" width="13.140625" customWidth="1"/>
    <col min="14" max="14" width="18.5703125" customWidth="1"/>
    <col min="15" max="15" width="19.140625" customWidth="1"/>
    <col min="16" max="17" width="18.5703125" customWidth="1"/>
    <col min="18" max="18" width="17.28515625" customWidth="1"/>
    <col min="19" max="19" width="7.5703125" customWidth="1"/>
    <col min="20" max="20" width="18.5703125" customWidth="1"/>
    <col min="21" max="21" width="57.7109375" customWidth="1"/>
    <col min="22" max="22" width="63.7109375" customWidth="1"/>
  </cols>
  <sheetData>
    <row r="1" spans="1:17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3" t="s">
        <v>16</v>
      </c>
    </row>
    <row r="2" spans="1:17" x14ac:dyDescent="0.25">
      <c r="A2" t="s">
        <v>17</v>
      </c>
      <c r="B2" t="str">
        <f t="shared" ref="B2:B33" si="0">PROPER(SUBSTITUTE(A2,"_"," "))</f>
        <v>Reception Desk</v>
      </c>
      <c r="C2" t="s">
        <v>18</v>
      </c>
      <c r="D2" t="s">
        <v>19</v>
      </c>
      <c r="E2" t="s">
        <v>20</v>
      </c>
      <c r="H2" t="s">
        <v>21</v>
      </c>
      <c r="K2">
        <v>2</v>
      </c>
      <c r="P2" t="s">
        <v>22</v>
      </c>
      <c r="Q2" t="b">
        <v>1</v>
      </c>
    </row>
    <row r="3" spans="1:17" hidden="1" x14ac:dyDescent="0.25">
      <c r="A3" s="10" t="s">
        <v>23</v>
      </c>
      <c r="B3" t="str">
        <f t="shared" si="0"/>
        <v>Straw Pallet</v>
      </c>
      <c r="C3" t="s">
        <v>24</v>
      </c>
      <c r="D3" t="s">
        <v>25</v>
      </c>
      <c r="H3" t="s">
        <v>21</v>
      </c>
      <c r="I3" t="s">
        <v>26</v>
      </c>
      <c r="K3">
        <v>2</v>
      </c>
      <c r="N3" t="b">
        <v>0</v>
      </c>
      <c r="Q3" t="b">
        <v>0</v>
      </c>
    </row>
    <row r="4" spans="1:17" x14ac:dyDescent="0.25">
      <c r="A4" t="s">
        <v>27</v>
      </c>
      <c r="B4" t="str">
        <f t="shared" si="0"/>
        <v>Wood Frame Bed</v>
      </c>
      <c r="C4" t="s">
        <v>28</v>
      </c>
      <c r="D4" t="s">
        <v>25</v>
      </c>
      <c r="E4" t="s">
        <v>29</v>
      </c>
      <c r="G4" t="s">
        <v>30</v>
      </c>
      <c r="H4" t="s">
        <v>21</v>
      </c>
      <c r="I4" t="s">
        <v>26</v>
      </c>
      <c r="K4">
        <v>2</v>
      </c>
      <c r="N4" t="b">
        <v>0</v>
      </c>
      <c r="O4" t="s">
        <v>31</v>
      </c>
      <c r="P4" t="s">
        <v>32</v>
      </c>
      <c r="Q4" t="b">
        <v>1</v>
      </c>
    </row>
    <row r="5" spans="1:17" x14ac:dyDescent="0.25">
      <c r="A5" t="s">
        <v>33</v>
      </c>
      <c r="B5" t="str">
        <f t="shared" si="0"/>
        <v>Bunk Bed</v>
      </c>
      <c r="C5" t="s">
        <v>34</v>
      </c>
      <c r="D5" t="s">
        <v>25</v>
      </c>
      <c r="E5" t="s">
        <v>29</v>
      </c>
      <c r="G5" t="s">
        <v>30</v>
      </c>
      <c r="H5" t="s">
        <v>21</v>
      </c>
      <c r="I5" t="s">
        <v>26</v>
      </c>
      <c r="K5">
        <v>2</v>
      </c>
      <c r="N5" t="b">
        <v>1</v>
      </c>
      <c r="O5" t="s">
        <v>35</v>
      </c>
      <c r="P5" t="s">
        <v>36</v>
      </c>
      <c r="Q5" t="b">
        <v>1</v>
      </c>
    </row>
    <row r="6" spans="1:17" hidden="1" x14ac:dyDescent="0.25">
      <c r="A6" s="10" t="s">
        <v>37</v>
      </c>
      <c r="B6" t="str">
        <f t="shared" si="0"/>
        <v>Canopy Bed</v>
      </c>
      <c r="C6" t="s">
        <v>38</v>
      </c>
      <c r="D6" t="s">
        <v>25</v>
      </c>
      <c r="G6" t="s">
        <v>39</v>
      </c>
      <c r="H6" t="s">
        <v>21</v>
      </c>
      <c r="I6" t="s">
        <v>26</v>
      </c>
      <c r="K6">
        <v>2</v>
      </c>
      <c r="N6" t="b">
        <v>0</v>
      </c>
      <c r="Q6" t="b">
        <v>0</v>
      </c>
    </row>
    <row r="7" spans="1:17" x14ac:dyDescent="0.25">
      <c r="A7" t="s">
        <v>40</v>
      </c>
      <c r="B7" t="str">
        <f t="shared" si="0"/>
        <v>Budget Wardrobe</v>
      </c>
      <c r="C7" t="s">
        <v>41</v>
      </c>
      <c r="D7" t="s">
        <v>42</v>
      </c>
      <c r="G7" t="s">
        <v>43</v>
      </c>
      <c r="H7" t="s">
        <v>21</v>
      </c>
      <c r="I7" t="s">
        <v>26</v>
      </c>
      <c r="K7">
        <v>3</v>
      </c>
      <c r="N7" t="b">
        <v>0</v>
      </c>
      <c r="O7" t="s">
        <v>44</v>
      </c>
      <c r="P7" t="s">
        <v>45</v>
      </c>
      <c r="Q7" t="b">
        <v>1</v>
      </c>
    </row>
    <row r="8" spans="1:17" x14ac:dyDescent="0.25">
      <c r="A8" t="s">
        <v>46</v>
      </c>
      <c r="B8" t="str">
        <f t="shared" si="0"/>
        <v>Fine Wardrobe</v>
      </c>
      <c r="C8" t="s">
        <v>47</v>
      </c>
      <c r="D8" t="s">
        <v>42</v>
      </c>
      <c r="G8" t="s">
        <v>48</v>
      </c>
      <c r="H8" t="s">
        <v>21</v>
      </c>
      <c r="I8" t="s">
        <v>26</v>
      </c>
      <c r="K8">
        <v>3</v>
      </c>
      <c r="N8" t="b">
        <v>0</v>
      </c>
      <c r="O8" t="s">
        <v>44</v>
      </c>
      <c r="P8" t="s">
        <v>49</v>
      </c>
      <c r="Q8" t="b">
        <v>1</v>
      </c>
    </row>
    <row r="9" spans="1:17" x14ac:dyDescent="0.25">
      <c r="A9" t="s">
        <v>50</v>
      </c>
      <c r="B9" t="str">
        <f t="shared" si="0"/>
        <v>Ornate Wardrobe</v>
      </c>
      <c r="D9" t="s">
        <v>42</v>
      </c>
      <c r="G9" t="s">
        <v>51</v>
      </c>
      <c r="H9" t="s">
        <v>21</v>
      </c>
      <c r="I9" t="s">
        <v>26</v>
      </c>
      <c r="K9">
        <v>3</v>
      </c>
      <c r="N9" t="b">
        <v>0</v>
      </c>
      <c r="O9" t="s">
        <v>44</v>
      </c>
      <c r="P9" t="s">
        <v>52</v>
      </c>
      <c r="Q9" t="b">
        <v>1</v>
      </c>
    </row>
    <row r="10" spans="1:17" hidden="1" x14ac:dyDescent="0.25">
      <c r="A10" s="10" t="s">
        <v>53</v>
      </c>
      <c r="B10" t="str">
        <f t="shared" si="0"/>
        <v>Night Stand</v>
      </c>
      <c r="H10" t="s">
        <v>21</v>
      </c>
      <c r="I10" t="s">
        <v>26</v>
      </c>
      <c r="K10">
        <v>1</v>
      </c>
      <c r="N10" t="b">
        <v>0</v>
      </c>
      <c r="Q10" t="b">
        <v>0</v>
      </c>
    </row>
    <row r="11" spans="1:17" hidden="1" x14ac:dyDescent="0.25">
      <c r="A11" s="10" t="s">
        <v>54</v>
      </c>
      <c r="B11" t="str">
        <f t="shared" si="0"/>
        <v>Wash Basin</v>
      </c>
      <c r="G11" t="s">
        <v>55</v>
      </c>
      <c r="H11" t="s">
        <v>21</v>
      </c>
      <c r="I11" t="s">
        <v>26</v>
      </c>
      <c r="K11">
        <v>1</v>
      </c>
      <c r="N11" t="b">
        <v>0</v>
      </c>
      <c r="Q11" t="b">
        <v>0</v>
      </c>
    </row>
    <row r="12" spans="1:17" hidden="1" x14ac:dyDescent="0.25">
      <c r="A12" s="10" t="s">
        <v>56</v>
      </c>
      <c r="B12" t="str">
        <f t="shared" si="0"/>
        <v>Artisan Rug</v>
      </c>
      <c r="G12" t="s">
        <v>57</v>
      </c>
      <c r="H12" t="s">
        <v>21</v>
      </c>
      <c r="K12">
        <v>2</v>
      </c>
      <c r="N12" t="b">
        <v>0</v>
      </c>
      <c r="Q12" t="b">
        <v>0</v>
      </c>
    </row>
    <row r="13" spans="1:17" hidden="1" x14ac:dyDescent="0.25">
      <c r="A13" s="10" t="s">
        <v>58</v>
      </c>
      <c r="B13" t="str">
        <f t="shared" si="0"/>
        <v>Mirror</v>
      </c>
      <c r="G13" t="s">
        <v>59</v>
      </c>
      <c r="H13" t="s">
        <v>21</v>
      </c>
      <c r="I13" t="s">
        <v>26</v>
      </c>
      <c r="K13">
        <v>1</v>
      </c>
      <c r="N13" t="b">
        <v>0</v>
      </c>
      <c r="Q13" t="b">
        <v>0</v>
      </c>
    </row>
    <row r="14" spans="1:17" hidden="1" x14ac:dyDescent="0.25">
      <c r="A14" s="10" t="s">
        <v>60</v>
      </c>
      <c r="B14" t="str">
        <f t="shared" si="0"/>
        <v>Trunk</v>
      </c>
      <c r="C14" t="s">
        <v>61</v>
      </c>
      <c r="H14" t="s">
        <v>21</v>
      </c>
      <c r="I14" t="s">
        <v>26</v>
      </c>
      <c r="K14">
        <v>2</v>
      </c>
      <c r="N14" t="b">
        <v>0</v>
      </c>
      <c r="Q14" t="b">
        <v>0</v>
      </c>
    </row>
    <row r="15" spans="1:17" hidden="1" x14ac:dyDescent="0.25">
      <c r="A15" s="10" t="s">
        <v>62</v>
      </c>
      <c r="B15" t="str">
        <f t="shared" si="0"/>
        <v>Bookshelf</v>
      </c>
      <c r="H15" t="s">
        <v>21</v>
      </c>
      <c r="K15">
        <v>3</v>
      </c>
      <c r="N15" t="b">
        <v>0</v>
      </c>
      <c r="Q15" t="b">
        <v>0</v>
      </c>
    </row>
    <row r="16" spans="1:17" hidden="1" x14ac:dyDescent="0.25">
      <c r="A16" s="10" t="s">
        <v>63</v>
      </c>
      <c r="B16" t="str">
        <f t="shared" si="0"/>
        <v>Privacy Screen</v>
      </c>
      <c r="H16" t="s">
        <v>21</v>
      </c>
      <c r="I16" t="s">
        <v>26</v>
      </c>
      <c r="K16">
        <v>1</v>
      </c>
      <c r="N16" t="b">
        <v>0</v>
      </c>
      <c r="Q16" t="b">
        <v>0</v>
      </c>
    </row>
    <row r="17" spans="1:17" x14ac:dyDescent="0.25">
      <c r="A17" t="s">
        <v>64</v>
      </c>
      <c r="B17" t="str">
        <f t="shared" si="0"/>
        <v>Small Houseplant</v>
      </c>
      <c r="D17" t="s">
        <v>65</v>
      </c>
      <c r="G17" t="s">
        <v>66</v>
      </c>
      <c r="H17" t="s">
        <v>21</v>
      </c>
      <c r="K17">
        <v>1</v>
      </c>
      <c r="N17" t="b">
        <v>0</v>
      </c>
      <c r="O17" t="s">
        <v>67</v>
      </c>
      <c r="P17" t="s">
        <v>68</v>
      </c>
      <c r="Q17" t="b">
        <v>1</v>
      </c>
    </row>
    <row r="18" spans="1:17" hidden="1" x14ac:dyDescent="0.25">
      <c r="A18" s="10" t="s">
        <v>69</v>
      </c>
      <c r="B18" t="str">
        <f t="shared" si="0"/>
        <v>Big Houseplant</v>
      </c>
      <c r="G18" s="1" t="s">
        <v>70</v>
      </c>
      <c r="H18" t="s">
        <v>21</v>
      </c>
      <c r="K18">
        <v>2</v>
      </c>
      <c r="N18" t="b">
        <v>0</v>
      </c>
      <c r="Q18" t="b">
        <v>0</v>
      </c>
    </row>
    <row r="19" spans="1:17" hidden="1" x14ac:dyDescent="0.25">
      <c r="A19" s="10" t="s">
        <v>71</v>
      </c>
      <c r="B19" t="str">
        <f t="shared" si="0"/>
        <v>Chamber Pot</v>
      </c>
      <c r="C19" t="s">
        <v>72</v>
      </c>
      <c r="H19" t="s">
        <v>21</v>
      </c>
      <c r="I19" t="s">
        <v>73</v>
      </c>
      <c r="K19">
        <v>1</v>
      </c>
      <c r="N19" t="b">
        <v>0</v>
      </c>
      <c r="Q19" t="b">
        <v>0</v>
      </c>
    </row>
    <row r="20" spans="1:17" x14ac:dyDescent="0.25">
      <c r="A20" t="s">
        <v>74</v>
      </c>
      <c r="B20" t="str">
        <f t="shared" si="0"/>
        <v>Cooking Order Desk</v>
      </c>
      <c r="C20" t="s">
        <v>75</v>
      </c>
      <c r="D20" t="s">
        <v>76</v>
      </c>
      <c r="E20" t="s">
        <v>77</v>
      </c>
      <c r="H20" t="s">
        <v>21</v>
      </c>
      <c r="I20" t="s">
        <v>78</v>
      </c>
      <c r="K20">
        <v>2</v>
      </c>
      <c r="N20" t="b">
        <v>0</v>
      </c>
      <c r="O20" t="s">
        <v>79</v>
      </c>
      <c r="P20" t="s">
        <v>80</v>
      </c>
      <c r="Q20" t="b">
        <v>1</v>
      </c>
    </row>
    <row r="21" spans="1:17" x14ac:dyDescent="0.25">
      <c r="A21" t="s">
        <v>81</v>
      </c>
      <c r="B21" t="str">
        <f t="shared" si="0"/>
        <v>Cooking Couldron</v>
      </c>
      <c r="C21" t="s">
        <v>82</v>
      </c>
      <c r="D21" t="s">
        <v>83</v>
      </c>
      <c r="E21" t="s">
        <v>84</v>
      </c>
      <c r="H21" t="s">
        <v>21</v>
      </c>
      <c r="I21" t="s">
        <v>85</v>
      </c>
      <c r="K21">
        <v>2</v>
      </c>
      <c r="N21" t="b">
        <v>0</v>
      </c>
      <c r="O21" t="s">
        <v>86</v>
      </c>
      <c r="P21" t="s">
        <v>87</v>
      </c>
      <c r="Q21" t="b">
        <v>1</v>
      </c>
    </row>
    <row r="22" spans="1:17" x14ac:dyDescent="0.25">
      <c r="A22" t="s">
        <v>88</v>
      </c>
      <c r="B22" t="str">
        <f t="shared" si="0"/>
        <v>Small Seating Table</v>
      </c>
      <c r="D22" t="s">
        <v>89</v>
      </c>
      <c r="E22" t="s">
        <v>90</v>
      </c>
      <c r="G22" t="s">
        <v>466</v>
      </c>
      <c r="H22" t="s">
        <v>21</v>
      </c>
      <c r="I22" t="s">
        <v>78</v>
      </c>
      <c r="K22">
        <v>2</v>
      </c>
      <c r="N22" t="b">
        <v>0</v>
      </c>
      <c r="O22" t="s">
        <v>91</v>
      </c>
      <c r="P22" t="s">
        <v>92</v>
      </c>
      <c r="Q22" t="b">
        <v>1</v>
      </c>
    </row>
    <row r="23" spans="1:17" x14ac:dyDescent="0.25">
      <c r="A23" t="s">
        <v>93</v>
      </c>
      <c r="B23" t="str">
        <f t="shared" si="0"/>
        <v>Pass Table</v>
      </c>
      <c r="C23" t="s">
        <v>94</v>
      </c>
      <c r="D23" t="s">
        <v>95</v>
      </c>
      <c r="E23" t="s">
        <v>96</v>
      </c>
      <c r="H23" t="s">
        <v>21</v>
      </c>
      <c r="I23" t="s">
        <v>85</v>
      </c>
      <c r="K23">
        <v>2</v>
      </c>
      <c r="N23" t="b">
        <v>0</v>
      </c>
      <c r="O23" t="s">
        <v>97</v>
      </c>
      <c r="P23" t="s">
        <v>98</v>
      </c>
      <c r="Q23" t="b">
        <v>1</v>
      </c>
    </row>
    <row r="24" spans="1:17" x14ac:dyDescent="0.25">
      <c r="A24" t="s">
        <v>99</v>
      </c>
      <c r="B24" t="str">
        <f t="shared" si="0"/>
        <v>Crate</v>
      </c>
      <c r="C24" t="s">
        <v>100</v>
      </c>
      <c r="D24" t="s">
        <v>101</v>
      </c>
      <c r="E24" t="s">
        <v>96</v>
      </c>
      <c r="H24" t="s">
        <v>21</v>
      </c>
      <c r="K24">
        <v>2</v>
      </c>
      <c r="N24" t="b">
        <v>0</v>
      </c>
      <c r="O24" t="s">
        <v>102</v>
      </c>
      <c r="P24" t="s">
        <v>103</v>
      </c>
      <c r="Q24" t="b">
        <v>1</v>
      </c>
    </row>
    <row r="25" spans="1:17" x14ac:dyDescent="0.25">
      <c r="A25" s="10" t="s">
        <v>104</v>
      </c>
      <c r="B25" t="str">
        <f t="shared" si="0"/>
        <v>Barrel</v>
      </c>
      <c r="C25" t="s">
        <v>100</v>
      </c>
      <c r="D25" t="s">
        <v>101</v>
      </c>
      <c r="E25" t="s">
        <v>96</v>
      </c>
      <c r="H25" t="s">
        <v>21</v>
      </c>
      <c r="K25">
        <v>2</v>
      </c>
      <c r="N25" t="b">
        <v>0</v>
      </c>
      <c r="O25" t="s">
        <v>105</v>
      </c>
      <c r="P25" t="s">
        <v>106</v>
      </c>
      <c r="Q25" t="b">
        <v>1</v>
      </c>
    </row>
    <row r="26" spans="1:17" x14ac:dyDescent="0.25">
      <c r="A26" t="s">
        <v>107</v>
      </c>
      <c r="B26" t="str">
        <f t="shared" si="0"/>
        <v>Wall Torch</v>
      </c>
      <c r="C26" t="s">
        <v>108</v>
      </c>
      <c r="D26" t="s">
        <v>109</v>
      </c>
      <c r="H26" t="s">
        <v>110</v>
      </c>
      <c r="K26">
        <v>0</v>
      </c>
      <c r="L26">
        <v>1.4</v>
      </c>
      <c r="N26" t="b">
        <v>0</v>
      </c>
      <c r="O26" t="s">
        <v>111</v>
      </c>
      <c r="P26" t="s">
        <v>112</v>
      </c>
      <c r="Q26" t="b">
        <v>1</v>
      </c>
    </row>
    <row r="27" spans="1:17" x14ac:dyDescent="0.25">
      <c r="A27" t="s">
        <v>113</v>
      </c>
      <c r="B27" t="str">
        <f t="shared" si="0"/>
        <v>Condiment Shelf</v>
      </c>
      <c r="C27" t="s">
        <v>114</v>
      </c>
      <c r="D27" t="s">
        <v>115</v>
      </c>
      <c r="G27" t="s">
        <v>43</v>
      </c>
      <c r="H27" t="s">
        <v>110</v>
      </c>
      <c r="I27" t="s">
        <v>85</v>
      </c>
      <c r="K27">
        <v>1</v>
      </c>
      <c r="L27" s="1">
        <v>4.4000000000000004</v>
      </c>
      <c r="N27" t="b">
        <v>0</v>
      </c>
      <c r="O27" t="s">
        <v>116</v>
      </c>
      <c r="P27" t="s">
        <v>117</v>
      </c>
      <c r="Q27" t="b">
        <v>1</v>
      </c>
    </row>
    <row r="28" spans="1:17" x14ac:dyDescent="0.25">
      <c r="A28" t="s">
        <v>118</v>
      </c>
      <c r="B28" t="str">
        <f t="shared" si="0"/>
        <v>Condiment Shelf Small</v>
      </c>
      <c r="C28" t="s">
        <v>114</v>
      </c>
      <c r="D28" t="s">
        <v>115</v>
      </c>
      <c r="G28" t="s">
        <v>66</v>
      </c>
      <c r="H28" t="s">
        <v>110</v>
      </c>
      <c r="I28" t="s">
        <v>85</v>
      </c>
      <c r="K28">
        <v>1</v>
      </c>
      <c r="L28" s="1">
        <v>4.4000000000000004</v>
      </c>
      <c r="N28" t="b">
        <v>0</v>
      </c>
      <c r="O28" t="s">
        <v>116</v>
      </c>
      <c r="P28" t="s">
        <v>119</v>
      </c>
      <c r="Q28" t="b">
        <v>1</v>
      </c>
    </row>
    <row r="29" spans="1:17" hidden="1" x14ac:dyDescent="0.25">
      <c r="A29" t="s">
        <v>120</v>
      </c>
      <c r="B29" t="str">
        <f t="shared" si="0"/>
        <v>Hanging Frying Pans</v>
      </c>
      <c r="C29" t="s">
        <v>114</v>
      </c>
      <c r="D29" t="s">
        <v>115</v>
      </c>
      <c r="H29" t="s">
        <v>110</v>
      </c>
      <c r="I29" t="s">
        <v>85</v>
      </c>
      <c r="K29">
        <v>0</v>
      </c>
      <c r="N29" t="b">
        <v>0</v>
      </c>
    </row>
    <row r="30" spans="1:17" hidden="1" x14ac:dyDescent="0.25">
      <c r="A30" t="s">
        <v>121</v>
      </c>
      <c r="B30" t="str">
        <f t="shared" si="0"/>
        <v>Butcher Table</v>
      </c>
      <c r="D30" t="s">
        <v>122</v>
      </c>
      <c r="H30" t="s">
        <v>21</v>
      </c>
      <c r="I30" t="s">
        <v>85</v>
      </c>
      <c r="K30">
        <v>2</v>
      </c>
      <c r="N30" t="b">
        <v>0</v>
      </c>
    </row>
    <row r="31" spans="1:17" hidden="1" x14ac:dyDescent="0.25">
      <c r="A31" t="s">
        <v>123</v>
      </c>
      <c r="B31" t="str">
        <f t="shared" si="0"/>
        <v>Hanging Meat</v>
      </c>
      <c r="D31" t="s">
        <v>122</v>
      </c>
    </row>
    <row r="32" spans="1:17" hidden="1" x14ac:dyDescent="0.25">
      <c r="B32" t="str">
        <f t="shared" si="0"/>
        <v/>
      </c>
    </row>
    <row r="33" spans="2:2" hidden="1" x14ac:dyDescent="0.25">
      <c r="B33" t="str">
        <f t="shared" si="0"/>
        <v/>
      </c>
    </row>
    <row r="34" spans="2:2" hidden="1" x14ac:dyDescent="0.25">
      <c r="B34" t="str">
        <f t="shared" ref="B34:B53" si="1">PROPER(SUBSTITUTE(A34,"_"," "))</f>
        <v/>
      </c>
    </row>
    <row r="35" spans="2:2" hidden="1" x14ac:dyDescent="0.25">
      <c r="B35" t="str">
        <f t="shared" si="1"/>
        <v/>
      </c>
    </row>
    <row r="36" spans="2:2" hidden="1" x14ac:dyDescent="0.25">
      <c r="B36" t="str">
        <f t="shared" si="1"/>
        <v/>
      </c>
    </row>
    <row r="37" spans="2:2" hidden="1" x14ac:dyDescent="0.25">
      <c r="B37" t="str">
        <f t="shared" si="1"/>
        <v/>
      </c>
    </row>
    <row r="38" spans="2:2" hidden="1" x14ac:dyDescent="0.25">
      <c r="B38" t="str">
        <f t="shared" si="1"/>
        <v/>
      </c>
    </row>
    <row r="39" spans="2:2" hidden="1" x14ac:dyDescent="0.25">
      <c r="B39" t="str">
        <f t="shared" si="1"/>
        <v/>
      </c>
    </row>
    <row r="40" spans="2:2" hidden="1" x14ac:dyDescent="0.25">
      <c r="B40" t="str">
        <f t="shared" si="1"/>
        <v/>
      </c>
    </row>
    <row r="41" spans="2:2" hidden="1" x14ac:dyDescent="0.25">
      <c r="B41" t="str">
        <f t="shared" si="1"/>
        <v/>
      </c>
    </row>
    <row r="42" spans="2:2" hidden="1" x14ac:dyDescent="0.25">
      <c r="B42" t="str">
        <f t="shared" si="1"/>
        <v/>
      </c>
    </row>
    <row r="43" spans="2:2" hidden="1" x14ac:dyDescent="0.25">
      <c r="B43" t="str">
        <f t="shared" si="1"/>
        <v/>
      </c>
    </row>
    <row r="44" spans="2:2" hidden="1" x14ac:dyDescent="0.25">
      <c r="B44" t="str">
        <f t="shared" si="1"/>
        <v/>
      </c>
    </row>
    <row r="45" spans="2:2" hidden="1" x14ac:dyDescent="0.25">
      <c r="B45" t="str">
        <f t="shared" si="1"/>
        <v/>
      </c>
    </row>
    <row r="46" spans="2:2" hidden="1" x14ac:dyDescent="0.25">
      <c r="B46" t="str">
        <f t="shared" si="1"/>
        <v/>
      </c>
    </row>
    <row r="47" spans="2:2" hidden="1" x14ac:dyDescent="0.25">
      <c r="B47" t="str">
        <f t="shared" si="1"/>
        <v/>
      </c>
    </row>
    <row r="48" spans="2:2" hidden="1" x14ac:dyDescent="0.25">
      <c r="B48" t="str">
        <f t="shared" si="1"/>
        <v/>
      </c>
    </row>
    <row r="49" spans="2:2" hidden="1" x14ac:dyDescent="0.25">
      <c r="B49" t="str">
        <f t="shared" si="1"/>
        <v/>
      </c>
    </row>
    <row r="50" spans="2:2" hidden="1" x14ac:dyDescent="0.25">
      <c r="B50" t="str">
        <f t="shared" si="1"/>
        <v/>
      </c>
    </row>
    <row r="51" spans="2:2" hidden="1" x14ac:dyDescent="0.25">
      <c r="B51" t="str">
        <f t="shared" si="1"/>
        <v/>
      </c>
    </row>
    <row r="52" spans="2:2" hidden="1" x14ac:dyDescent="0.25">
      <c r="B52" t="str">
        <f t="shared" si="1"/>
        <v/>
      </c>
    </row>
    <row r="53" spans="2:2" hidden="1" x14ac:dyDescent="0.25">
      <c r="B53" t="str">
        <f t="shared" si="1"/>
        <v/>
      </c>
    </row>
  </sheetData>
  <autoFilter ref="A1:W53" xr:uid="{00000000-0009-0000-0000-000001000000}">
    <filterColumn colId="22">
      <filters>
        <filter val="TRUE"/>
      </filters>
    </filterColumn>
  </autoFilter>
  <conditionalFormatting sqref="H2:M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H2:M104">
    <cfRule type="cellIs" dxfId="6" priority="1" operator="equal">
      <formula>0</formula>
    </cfRule>
  </conditionalFormatting>
  <conditionalFormatting sqref="H3:M104">
    <cfRule type="colorScale" priority="7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6</v>
      </c>
      <c r="F1" s="4" t="s">
        <v>183</v>
      </c>
      <c r="G1" s="4" t="s">
        <v>184</v>
      </c>
      <c r="H1" s="4" t="s">
        <v>185</v>
      </c>
      <c r="I1" s="4" t="s">
        <v>186</v>
      </c>
      <c r="J1" s="4" t="s">
        <v>73</v>
      </c>
      <c r="K1" s="4" t="s">
        <v>187</v>
      </c>
      <c r="L1" s="4" t="s">
        <v>7</v>
      </c>
      <c r="M1" s="4" t="s">
        <v>8</v>
      </c>
      <c r="N1" s="4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4" t="s">
        <v>14</v>
      </c>
      <c r="T1" s="4" t="s">
        <v>15</v>
      </c>
      <c r="U1" s="3" t="s">
        <v>16</v>
      </c>
    </row>
    <row r="2" spans="1:21" x14ac:dyDescent="0.25">
      <c r="A2" t="s">
        <v>17</v>
      </c>
      <c r="B2" t="str">
        <f t="shared" ref="B2:B33" si="0">PROPER(SUBSTITUTE(A2,"_"," "))</f>
        <v>Reception Desk</v>
      </c>
      <c r="C2" t="s">
        <v>18</v>
      </c>
      <c r="D2" t="s">
        <v>19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21</v>
      </c>
      <c r="O2">
        <v>2</v>
      </c>
      <c r="T2" t="s">
        <v>22</v>
      </c>
      <c r="U2" t="b">
        <v>1</v>
      </c>
    </row>
    <row r="3" spans="1:21" x14ac:dyDescent="0.25">
      <c r="A3" s="10" t="s">
        <v>23</v>
      </c>
      <c r="B3" t="str">
        <f t="shared" si="0"/>
        <v>Straw Pallet</v>
      </c>
      <c r="C3" t="s">
        <v>24</v>
      </c>
      <c r="D3" t="s">
        <v>25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21</v>
      </c>
      <c r="M3" t="s">
        <v>26</v>
      </c>
      <c r="O3">
        <v>2</v>
      </c>
      <c r="R3" t="b">
        <v>0</v>
      </c>
      <c r="U3" t="b">
        <v>0</v>
      </c>
    </row>
    <row r="4" spans="1:21" x14ac:dyDescent="0.25">
      <c r="A4" t="s">
        <v>27</v>
      </c>
      <c r="B4" t="str">
        <f t="shared" si="0"/>
        <v>Wood Frame Bed</v>
      </c>
      <c r="C4" t="s">
        <v>28</v>
      </c>
      <c r="D4" t="s">
        <v>25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21</v>
      </c>
      <c r="M4" t="s">
        <v>26</v>
      </c>
      <c r="O4">
        <v>2</v>
      </c>
      <c r="R4" t="b">
        <v>0</v>
      </c>
      <c r="S4" t="s">
        <v>31</v>
      </c>
      <c r="T4" t="s">
        <v>32</v>
      </c>
      <c r="U4" t="b">
        <v>1</v>
      </c>
    </row>
    <row r="5" spans="1:21" x14ac:dyDescent="0.25">
      <c r="A5" t="s">
        <v>33</v>
      </c>
      <c r="B5" t="str">
        <f t="shared" si="0"/>
        <v>Bunk Bed</v>
      </c>
      <c r="C5" t="s">
        <v>34</v>
      </c>
      <c r="D5" t="s">
        <v>25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21</v>
      </c>
      <c r="M5" t="s">
        <v>26</v>
      </c>
      <c r="O5">
        <v>2</v>
      </c>
      <c r="R5" t="b">
        <v>1</v>
      </c>
      <c r="S5" t="s">
        <v>35</v>
      </c>
      <c r="T5" t="s">
        <v>36</v>
      </c>
      <c r="U5" t="b">
        <v>1</v>
      </c>
    </row>
    <row r="6" spans="1:21" x14ac:dyDescent="0.25">
      <c r="A6" s="10" t="s">
        <v>37</v>
      </c>
      <c r="B6" t="str">
        <f t="shared" si="0"/>
        <v>Canopy Bed</v>
      </c>
      <c r="C6" t="s">
        <v>38</v>
      </c>
      <c r="D6" t="s">
        <v>25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21</v>
      </c>
      <c r="M6" t="s">
        <v>26</v>
      </c>
      <c r="O6">
        <v>2</v>
      </c>
      <c r="R6" t="b">
        <v>0</v>
      </c>
      <c r="U6" t="b">
        <v>0</v>
      </c>
    </row>
    <row r="7" spans="1:21" x14ac:dyDescent="0.25">
      <c r="A7" t="s">
        <v>40</v>
      </c>
      <c r="B7" t="str">
        <f t="shared" si="0"/>
        <v>Budget Wardrobe</v>
      </c>
      <c r="C7" t="s">
        <v>41</v>
      </c>
      <c r="D7" t="s">
        <v>42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21</v>
      </c>
      <c r="M7" t="s">
        <v>26</v>
      </c>
      <c r="O7">
        <v>3</v>
      </c>
      <c r="R7" t="b">
        <v>0</v>
      </c>
      <c r="S7" t="s">
        <v>44</v>
      </c>
      <c r="T7" t="s">
        <v>45</v>
      </c>
      <c r="U7" t="b">
        <v>1</v>
      </c>
    </row>
    <row r="8" spans="1:21" x14ac:dyDescent="0.25">
      <c r="A8" t="s">
        <v>46</v>
      </c>
      <c r="B8" t="str">
        <f t="shared" si="0"/>
        <v>Fine Wardrobe</v>
      </c>
      <c r="C8" t="s">
        <v>47</v>
      </c>
      <c r="D8" t="s">
        <v>42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21</v>
      </c>
      <c r="M8" t="s">
        <v>26</v>
      </c>
      <c r="O8">
        <v>3</v>
      </c>
      <c r="R8" t="b">
        <v>0</v>
      </c>
      <c r="S8" t="s">
        <v>44</v>
      </c>
      <c r="T8" t="s">
        <v>49</v>
      </c>
      <c r="U8" t="b">
        <v>1</v>
      </c>
    </row>
    <row r="9" spans="1:21" x14ac:dyDescent="0.25">
      <c r="A9" t="s">
        <v>50</v>
      </c>
      <c r="B9" t="str">
        <f t="shared" si="0"/>
        <v>Ornate Wardrobe</v>
      </c>
      <c r="D9" t="s">
        <v>42</v>
      </c>
      <c r="E9" t="s">
        <v>188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21</v>
      </c>
      <c r="M9" t="s">
        <v>26</v>
      </c>
      <c r="O9">
        <v>3</v>
      </c>
      <c r="R9" t="b">
        <v>0</v>
      </c>
      <c r="S9" t="s">
        <v>44</v>
      </c>
      <c r="T9" t="s">
        <v>52</v>
      </c>
      <c r="U9" t="b">
        <v>1</v>
      </c>
    </row>
    <row r="10" spans="1:21" x14ac:dyDescent="0.25">
      <c r="A10" s="10" t="s">
        <v>53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21</v>
      </c>
      <c r="M10" t="s">
        <v>26</v>
      </c>
      <c r="O10">
        <v>1</v>
      </c>
      <c r="R10" t="b">
        <v>0</v>
      </c>
      <c r="U10" t="b">
        <v>0</v>
      </c>
    </row>
    <row r="11" spans="1:21" x14ac:dyDescent="0.25">
      <c r="A11" s="10" t="s">
        <v>54</v>
      </c>
      <c r="B11" t="str">
        <f t="shared" si="0"/>
        <v>Wash Basin</v>
      </c>
      <c r="E11" t="s">
        <v>55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21</v>
      </c>
      <c r="M11" t="s">
        <v>26</v>
      </c>
      <c r="O11">
        <v>1</v>
      </c>
      <c r="R11" t="b">
        <v>0</v>
      </c>
      <c r="U11" t="b">
        <v>0</v>
      </c>
    </row>
    <row r="12" spans="1:21" x14ac:dyDescent="0.25">
      <c r="A12" s="10" t="s">
        <v>56</v>
      </c>
      <c r="B12" t="str">
        <f t="shared" si="0"/>
        <v>Artisan Rug</v>
      </c>
      <c r="E12" t="s">
        <v>57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21</v>
      </c>
      <c r="O12">
        <v>2</v>
      </c>
      <c r="R12" t="b">
        <v>0</v>
      </c>
      <c r="U12" t="b">
        <v>0</v>
      </c>
    </row>
    <row r="13" spans="1:21" x14ac:dyDescent="0.25">
      <c r="A13" s="10" t="s">
        <v>58</v>
      </c>
      <c r="B13" t="str">
        <f t="shared" si="0"/>
        <v>Mirror</v>
      </c>
      <c r="E13" t="s">
        <v>59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21</v>
      </c>
      <c r="M13" t="s">
        <v>26</v>
      </c>
      <c r="O13">
        <v>1</v>
      </c>
      <c r="R13" t="b">
        <v>0</v>
      </c>
      <c r="U13" t="b">
        <v>0</v>
      </c>
    </row>
    <row r="14" spans="1:21" x14ac:dyDescent="0.25">
      <c r="A14" s="10" t="s">
        <v>60</v>
      </c>
      <c r="B14" t="str">
        <f t="shared" si="0"/>
        <v>Trunk</v>
      </c>
      <c r="C14" t="s">
        <v>61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21</v>
      </c>
      <c r="M14" t="s">
        <v>26</v>
      </c>
      <c r="O14">
        <v>2</v>
      </c>
      <c r="R14" t="b">
        <v>0</v>
      </c>
      <c r="U14" t="b">
        <v>0</v>
      </c>
    </row>
    <row r="15" spans="1:21" x14ac:dyDescent="0.25">
      <c r="A15" s="10" t="s">
        <v>62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21</v>
      </c>
      <c r="O15">
        <v>3</v>
      </c>
      <c r="R15" t="b">
        <v>0</v>
      </c>
      <c r="U15" t="b">
        <v>0</v>
      </c>
    </row>
    <row r="16" spans="1:21" x14ac:dyDescent="0.25">
      <c r="A16" s="10" t="s">
        <v>63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21</v>
      </c>
      <c r="M16" t="s">
        <v>26</v>
      </c>
      <c r="O16">
        <v>1</v>
      </c>
      <c r="R16" t="b">
        <v>0</v>
      </c>
      <c r="U16" t="b">
        <v>0</v>
      </c>
    </row>
    <row r="17" spans="1:21" x14ac:dyDescent="0.25">
      <c r="A17" t="s">
        <v>64</v>
      </c>
      <c r="B17" t="str">
        <f t="shared" si="0"/>
        <v>Small Houseplant</v>
      </c>
      <c r="D17" t="s">
        <v>65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21</v>
      </c>
      <c r="O17">
        <v>1</v>
      </c>
      <c r="R17" t="b">
        <v>0</v>
      </c>
      <c r="S17" t="s">
        <v>67</v>
      </c>
      <c r="T17" t="s">
        <v>68</v>
      </c>
      <c r="U17" t="b">
        <v>1</v>
      </c>
    </row>
    <row r="18" spans="1:21" x14ac:dyDescent="0.25">
      <c r="A18" s="10" t="s">
        <v>69</v>
      </c>
      <c r="B18" t="str">
        <f t="shared" si="0"/>
        <v>Big Houseplant</v>
      </c>
      <c r="E18" s="1" t="s">
        <v>189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21</v>
      </c>
      <c r="O18">
        <v>2</v>
      </c>
      <c r="R18" t="b">
        <v>0</v>
      </c>
      <c r="U18" t="b">
        <v>0</v>
      </c>
    </row>
    <row r="19" spans="1:21" x14ac:dyDescent="0.25">
      <c r="A19" s="10" t="s">
        <v>71</v>
      </c>
      <c r="B19" t="str">
        <f t="shared" si="0"/>
        <v>Chamber Pot</v>
      </c>
      <c r="C19" t="s">
        <v>72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21</v>
      </c>
      <c r="M19" t="s">
        <v>73</v>
      </c>
      <c r="O19">
        <v>1</v>
      </c>
      <c r="R19" t="b">
        <v>0</v>
      </c>
      <c r="U19" t="b">
        <v>0</v>
      </c>
    </row>
    <row r="20" spans="1:21" x14ac:dyDescent="0.25">
      <c r="A20" t="s">
        <v>74</v>
      </c>
      <c r="B20" t="str">
        <f t="shared" si="0"/>
        <v>Cooking Order Desk</v>
      </c>
      <c r="C20" t="s">
        <v>75</v>
      </c>
      <c r="D20" t="s">
        <v>76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21</v>
      </c>
      <c r="M20" t="s">
        <v>78</v>
      </c>
      <c r="O20">
        <v>2</v>
      </c>
      <c r="R20" t="b">
        <v>0</v>
      </c>
      <c r="S20" t="s">
        <v>79</v>
      </c>
      <c r="T20" t="s">
        <v>80</v>
      </c>
      <c r="U20" t="b">
        <v>1</v>
      </c>
    </row>
    <row r="21" spans="1:21" x14ac:dyDescent="0.25">
      <c r="A21" t="s">
        <v>81</v>
      </c>
      <c r="B21" t="str">
        <f t="shared" si="0"/>
        <v>Cooking Couldron</v>
      </c>
      <c r="C21" t="s">
        <v>82</v>
      </c>
      <c r="D21" t="s">
        <v>83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21</v>
      </c>
      <c r="M21" t="s">
        <v>85</v>
      </c>
      <c r="O21">
        <v>2</v>
      </c>
      <c r="R21" t="b">
        <v>0</v>
      </c>
      <c r="S21" t="s">
        <v>86</v>
      </c>
      <c r="T21" t="s">
        <v>87</v>
      </c>
      <c r="U21" t="b">
        <v>1</v>
      </c>
    </row>
    <row r="22" spans="1:21" x14ac:dyDescent="0.25">
      <c r="A22" t="s">
        <v>88</v>
      </c>
      <c r="B22" t="str">
        <f t="shared" si="0"/>
        <v>Small Seating Table</v>
      </c>
      <c r="D22" t="s">
        <v>89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21</v>
      </c>
      <c r="M22" t="s">
        <v>78</v>
      </c>
      <c r="O22">
        <v>2</v>
      </c>
      <c r="R22" t="b">
        <v>0</v>
      </c>
      <c r="S22" t="s">
        <v>91</v>
      </c>
      <c r="T22" t="s">
        <v>92</v>
      </c>
      <c r="U22" t="b">
        <v>1</v>
      </c>
    </row>
    <row r="23" spans="1:21" x14ac:dyDescent="0.25">
      <c r="A23" t="s">
        <v>93</v>
      </c>
      <c r="B23" t="str">
        <f t="shared" si="0"/>
        <v>Pass Table</v>
      </c>
      <c r="C23" t="s">
        <v>94</v>
      </c>
      <c r="D23" t="s">
        <v>95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21</v>
      </c>
      <c r="M23" t="s">
        <v>85</v>
      </c>
      <c r="O23">
        <v>2</v>
      </c>
      <c r="R23" t="b">
        <v>0</v>
      </c>
      <c r="S23" t="s">
        <v>97</v>
      </c>
      <c r="T23" t="s">
        <v>98</v>
      </c>
      <c r="U23" t="b">
        <v>1</v>
      </c>
    </row>
    <row r="24" spans="1:21" x14ac:dyDescent="0.25">
      <c r="A24" t="s">
        <v>99</v>
      </c>
      <c r="B24" t="str">
        <f t="shared" si="0"/>
        <v>Crate</v>
      </c>
      <c r="C24" t="s">
        <v>100</v>
      </c>
      <c r="D24" t="s">
        <v>101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21</v>
      </c>
      <c r="O24">
        <v>2</v>
      </c>
      <c r="R24" t="b">
        <v>0</v>
      </c>
      <c r="S24" t="s">
        <v>102</v>
      </c>
      <c r="T24" t="s">
        <v>103</v>
      </c>
      <c r="U24" t="b">
        <v>1</v>
      </c>
    </row>
    <row r="25" spans="1:21" x14ac:dyDescent="0.25">
      <c r="A25" s="10" t="s">
        <v>104</v>
      </c>
      <c r="B25" t="str">
        <f t="shared" si="0"/>
        <v>Barrel</v>
      </c>
      <c r="C25" t="s">
        <v>100</v>
      </c>
      <c r="D25" t="s">
        <v>101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21</v>
      </c>
      <c r="O25">
        <v>2</v>
      </c>
      <c r="R25" t="b">
        <v>0</v>
      </c>
      <c r="S25" t="s">
        <v>105</v>
      </c>
      <c r="T25" t="s">
        <v>106</v>
      </c>
      <c r="U25" t="b">
        <v>1</v>
      </c>
    </row>
    <row r="26" spans="1:21" x14ac:dyDescent="0.25">
      <c r="A26" t="s">
        <v>107</v>
      </c>
      <c r="B26" t="str">
        <f t="shared" si="0"/>
        <v>Wall Torch</v>
      </c>
      <c r="C26" t="s">
        <v>108</v>
      </c>
      <c r="D26" t="s">
        <v>109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110</v>
      </c>
      <c r="O26">
        <v>0</v>
      </c>
      <c r="P26">
        <v>1.4</v>
      </c>
      <c r="R26" t="b">
        <v>0</v>
      </c>
      <c r="S26" t="s">
        <v>111</v>
      </c>
      <c r="T26" t="s">
        <v>112</v>
      </c>
      <c r="U26" t="b">
        <v>1</v>
      </c>
    </row>
    <row r="27" spans="1:21" x14ac:dyDescent="0.25">
      <c r="A27" t="s">
        <v>113</v>
      </c>
      <c r="B27" t="str">
        <f t="shared" si="0"/>
        <v>Condiment Shelf</v>
      </c>
      <c r="C27" t="s">
        <v>114</v>
      </c>
      <c r="D27" t="s">
        <v>115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110</v>
      </c>
      <c r="M27" t="s">
        <v>85</v>
      </c>
      <c r="O27">
        <v>1</v>
      </c>
      <c r="P27" s="1">
        <v>4.4000000000000004</v>
      </c>
      <c r="R27" t="b">
        <v>0</v>
      </c>
      <c r="S27" t="s">
        <v>116</v>
      </c>
      <c r="T27" t="s">
        <v>117</v>
      </c>
      <c r="U27" t="b">
        <v>1</v>
      </c>
    </row>
    <row r="28" spans="1:21" x14ac:dyDescent="0.25">
      <c r="A28" t="s">
        <v>118</v>
      </c>
      <c r="B28" t="str">
        <f t="shared" si="0"/>
        <v>Condiment Shelf Small</v>
      </c>
      <c r="C28" t="s">
        <v>114</v>
      </c>
      <c r="D28" t="s">
        <v>115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110</v>
      </c>
      <c r="M28" t="s">
        <v>85</v>
      </c>
      <c r="O28">
        <v>1</v>
      </c>
      <c r="P28" s="1">
        <v>4.4000000000000004</v>
      </c>
      <c r="R28" t="b">
        <v>0</v>
      </c>
      <c r="S28" t="s">
        <v>116</v>
      </c>
      <c r="T28" t="s">
        <v>119</v>
      </c>
      <c r="U28" t="b">
        <v>1</v>
      </c>
    </row>
    <row r="29" spans="1:21" x14ac:dyDescent="0.25">
      <c r="A29" t="s">
        <v>120</v>
      </c>
      <c r="B29" t="str">
        <f t="shared" si="0"/>
        <v>Hanging Frying Pans</v>
      </c>
      <c r="C29" t="s">
        <v>114</v>
      </c>
      <c r="D29" t="s">
        <v>115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110</v>
      </c>
      <c r="M29" t="s">
        <v>85</v>
      </c>
      <c r="O29">
        <v>0</v>
      </c>
      <c r="R29" t="b">
        <v>0</v>
      </c>
    </row>
    <row r="30" spans="1:21" x14ac:dyDescent="0.25">
      <c r="A30" t="s">
        <v>121</v>
      </c>
      <c r="B30" t="str">
        <f t="shared" si="0"/>
        <v>Butcher Table</v>
      </c>
      <c r="D30" t="s">
        <v>122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21</v>
      </c>
      <c r="M30" t="s">
        <v>85</v>
      </c>
      <c r="O30">
        <v>2</v>
      </c>
      <c r="R30" t="b">
        <v>0</v>
      </c>
    </row>
    <row r="31" spans="1:21" x14ac:dyDescent="0.25">
      <c r="A31" t="s">
        <v>123</v>
      </c>
      <c r="B31" t="str">
        <f t="shared" si="0"/>
        <v>Hanging Meat</v>
      </c>
      <c r="D31" t="s">
        <v>122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5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A1:K3"/>
  <sheetViews>
    <sheetView workbookViewId="0">
      <pane ySplit="1" topLeftCell="A2" activePane="bottomLeft" state="frozen"/>
      <selection pane="bottomLeft" activeCell="A6" sqref="A6"/>
    </sheetView>
  </sheetViews>
  <sheetFormatPr defaultRowHeight="15" x14ac:dyDescent="0.25"/>
  <cols>
    <col min="1" max="1" width="25.5703125" customWidth="1"/>
    <col min="2" max="2" width="17.7109375" customWidth="1"/>
    <col min="3" max="3" width="37.42578125" customWidth="1"/>
    <col min="4" max="4" width="18.140625" customWidth="1"/>
    <col min="5" max="5" width="19.140625" customWidth="1"/>
    <col min="6" max="7" width="26.140625" customWidth="1"/>
    <col min="8" max="8" width="22" customWidth="1"/>
    <col min="9" max="9" width="16.42578125" customWidth="1"/>
    <col min="10" max="10" width="14.140625" customWidth="1"/>
    <col min="11" max="11" width="13.140625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190</v>
      </c>
      <c r="E1" s="4" t="s">
        <v>191</v>
      </c>
      <c r="F1" s="4" t="s">
        <v>192</v>
      </c>
      <c r="G1" s="4" t="s">
        <v>193</v>
      </c>
      <c r="H1" s="4" t="s">
        <v>194</v>
      </c>
      <c r="I1" s="4" t="s">
        <v>195</v>
      </c>
      <c r="J1" s="4" t="s">
        <v>196</v>
      </c>
      <c r="K1" s="4" t="s">
        <v>197</v>
      </c>
    </row>
    <row r="2" spans="1:11" x14ac:dyDescent="0.25">
      <c r="A2" t="s">
        <v>198</v>
      </c>
      <c r="B2" t="s">
        <v>199</v>
      </c>
      <c r="C2" t="s">
        <v>200</v>
      </c>
      <c r="D2">
        <v>2</v>
      </c>
      <c r="E2" t="s">
        <v>201</v>
      </c>
      <c r="F2">
        <v>1</v>
      </c>
      <c r="I2" t="s">
        <v>202</v>
      </c>
      <c r="J2">
        <v>1</v>
      </c>
      <c r="K2">
        <v>2</v>
      </c>
    </row>
    <row r="3" spans="1:11" x14ac:dyDescent="0.25">
      <c r="A3" t="s">
        <v>203</v>
      </c>
      <c r="B3" t="s">
        <v>204</v>
      </c>
      <c r="C3" t="s">
        <v>205</v>
      </c>
      <c r="D3">
        <v>3</v>
      </c>
      <c r="E3" t="s">
        <v>206</v>
      </c>
      <c r="F3">
        <v>1</v>
      </c>
      <c r="G3" t="s">
        <v>207</v>
      </c>
      <c r="H3">
        <v>1</v>
      </c>
      <c r="I3" t="s">
        <v>208</v>
      </c>
      <c r="J3">
        <v>1</v>
      </c>
      <c r="K3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AA0A2"/>
  </sheetPr>
  <dimension ref="A1:F3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16.5703125" customWidth="1"/>
    <col min="2" max="2" width="17.7109375" customWidth="1"/>
    <col min="3" max="4" width="37.42578125" customWidth="1"/>
    <col min="5" max="5" width="24.140625" customWidth="1"/>
    <col min="6" max="6" width="46" customWidth="1"/>
  </cols>
  <sheetData>
    <row r="1" spans="1:6" x14ac:dyDescent="0.25">
      <c r="A1" s="4" t="s">
        <v>0</v>
      </c>
      <c r="B1" s="4" t="s">
        <v>1</v>
      </c>
      <c r="C1" s="4" t="s">
        <v>2</v>
      </c>
      <c r="D1" s="4" t="s">
        <v>6</v>
      </c>
      <c r="E1" s="4" t="s">
        <v>209</v>
      </c>
      <c r="F1" s="4" t="s">
        <v>15</v>
      </c>
    </row>
    <row r="2" spans="1:6" x14ac:dyDescent="0.25">
      <c r="A2" t="s">
        <v>202</v>
      </c>
      <c r="B2" t="s">
        <v>199</v>
      </c>
      <c r="C2" t="s">
        <v>210</v>
      </c>
      <c r="D2" t="s">
        <v>213</v>
      </c>
      <c r="E2">
        <v>3</v>
      </c>
      <c r="F2" t="s">
        <v>211</v>
      </c>
    </row>
    <row r="3" spans="1:6" x14ac:dyDescent="0.25">
      <c r="A3" t="s">
        <v>208</v>
      </c>
      <c r="B3" t="s">
        <v>204</v>
      </c>
      <c r="C3" t="s">
        <v>212</v>
      </c>
      <c r="D3" t="s">
        <v>468</v>
      </c>
      <c r="E3">
        <v>4</v>
      </c>
      <c r="F3" t="s">
        <v>214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59999389629810485"/>
  </sheetPr>
  <dimension ref="A1:C50"/>
  <sheetViews>
    <sheetView workbookViewId="0">
      <pane ySplit="1" topLeftCell="A2" activePane="bottomLeft" state="frozen"/>
      <selection pane="bottomLeft" sqref="A1:C1"/>
    </sheetView>
  </sheetViews>
  <sheetFormatPr defaultRowHeight="15" x14ac:dyDescent="0.25"/>
  <cols>
    <col min="1" max="1" width="11" bestFit="1" customWidth="1"/>
    <col min="2" max="2" width="12.85546875" customWidth="1"/>
    <col min="3" max="3" width="33.285156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t="s">
        <v>26</v>
      </c>
      <c r="B2" t="str">
        <f t="shared" ref="B2:B33" si="0">PROPER(A2)</f>
        <v>Sleeping</v>
      </c>
      <c r="C2" t="s">
        <v>215</v>
      </c>
    </row>
    <row r="3" spans="1:3" x14ac:dyDescent="0.25">
      <c r="A3" t="s">
        <v>85</v>
      </c>
      <c r="B3" t="str">
        <f t="shared" si="0"/>
        <v>Cooking</v>
      </c>
      <c r="C3" t="s">
        <v>216</v>
      </c>
    </row>
    <row r="4" spans="1:3" x14ac:dyDescent="0.25">
      <c r="A4" t="s">
        <v>217</v>
      </c>
      <c r="B4" t="str">
        <f t="shared" si="0"/>
        <v>Brewing</v>
      </c>
      <c r="C4" t="s">
        <v>218</v>
      </c>
    </row>
    <row r="5" spans="1:3" x14ac:dyDescent="0.25">
      <c r="A5" t="s">
        <v>78</v>
      </c>
      <c r="B5" t="str">
        <f t="shared" si="0"/>
        <v>Serving</v>
      </c>
      <c r="C5" t="s">
        <v>219</v>
      </c>
    </row>
    <row r="6" spans="1:3" x14ac:dyDescent="0.25">
      <c r="A6" t="s">
        <v>220</v>
      </c>
      <c r="B6" t="str">
        <f t="shared" si="0"/>
        <v>Growing</v>
      </c>
      <c r="C6" t="s">
        <v>221</v>
      </c>
    </row>
    <row r="7" spans="1:3" x14ac:dyDescent="0.25">
      <c r="A7" t="s">
        <v>222</v>
      </c>
      <c r="B7" t="str">
        <f t="shared" si="0"/>
        <v>Crafting</v>
      </c>
      <c r="C7" t="s">
        <v>223</v>
      </c>
    </row>
    <row r="8" spans="1:3" x14ac:dyDescent="0.25">
      <c r="A8" t="s">
        <v>224</v>
      </c>
      <c r="B8" t="str">
        <f t="shared" si="0"/>
        <v>Quiet</v>
      </c>
      <c r="C8" t="s">
        <v>225</v>
      </c>
    </row>
    <row r="9" spans="1:3" x14ac:dyDescent="0.25">
      <c r="A9" t="s">
        <v>151</v>
      </c>
      <c r="B9" t="str">
        <f t="shared" si="0"/>
        <v>Loud</v>
      </c>
      <c r="C9" t="s">
        <v>226</v>
      </c>
    </row>
    <row r="10" spans="1:3" x14ac:dyDescent="0.25">
      <c r="A10" t="s">
        <v>73</v>
      </c>
      <c r="B10" t="str">
        <f t="shared" si="0"/>
        <v>Hygiene</v>
      </c>
      <c r="C10" t="s">
        <v>227</v>
      </c>
    </row>
    <row r="11" spans="1:3" x14ac:dyDescent="0.25">
      <c r="A11" t="s">
        <v>228</v>
      </c>
      <c r="B11" t="str">
        <f t="shared" si="0"/>
        <v>Cozy</v>
      </c>
      <c r="C11" t="s">
        <v>229</v>
      </c>
    </row>
    <row r="12" spans="1:3" x14ac:dyDescent="0.25">
      <c r="A12" t="s">
        <v>230</v>
      </c>
      <c r="B12" t="str">
        <f t="shared" si="0"/>
        <v>Cramped</v>
      </c>
      <c r="C12" t="s">
        <v>231</v>
      </c>
    </row>
    <row r="13" spans="1:3" x14ac:dyDescent="0.25">
      <c r="A13" t="s">
        <v>232</v>
      </c>
      <c r="B13" t="str">
        <f t="shared" si="0"/>
        <v>Lavish</v>
      </c>
      <c r="C13" t="s">
        <v>233</v>
      </c>
    </row>
    <row r="14" spans="1:3" x14ac:dyDescent="0.25">
      <c r="A14" t="s">
        <v>234</v>
      </c>
      <c r="B14" t="str">
        <f t="shared" si="0"/>
        <v>Austere</v>
      </c>
      <c r="C14" t="s">
        <v>235</v>
      </c>
    </row>
    <row r="15" spans="1:3" x14ac:dyDescent="0.25">
      <c r="A15" t="s">
        <v>236</v>
      </c>
      <c r="B15" t="str">
        <f t="shared" si="0"/>
        <v>Damp</v>
      </c>
    </row>
    <row r="16" spans="1:3" x14ac:dyDescent="0.25">
      <c r="A16" t="s">
        <v>237</v>
      </c>
      <c r="B16" t="str">
        <f t="shared" si="0"/>
        <v>Sacred</v>
      </c>
    </row>
    <row r="17" spans="1:3" x14ac:dyDescent="0.25">
      <c r="A17" t="s">
        <v>238</v>
      </c>
      <c r="B17" t="str">
        <f t="shared" si="0"/>
        <v>Seedy</v>
      </c>
    </row>
    <row r="18" spans="1:3" x14ac:dyDescent="0.25">
      <c r="A18" t="s">
        <v>239</v>
      </c>
      <c r="B18" t="str">
        <f t="shared" si="0"/>
        <v>Trading</v>
      </c>
      <c r="C18" t="s">
        <v>240</v>
      </c>
    </row>
    <row r="19" spans="1:3" x14ac:dyDescent="0.25">
      <c r="A19" t="s">
        <v>241</v>
      </c>
      <c r="B19" t="str">
        <f t="shared" si="0"/>
        <v>Performing</v>
      </c>
      <c r="C19" t="s">
        <v>242</v>
      </c>
    </row>
    <row r="20" spans="1:3" x14ac:dyDescent="0.25">
      <c r="B20" t="str">
        <f t="shared" si="0"/>
        <v/>
      </c>
    </row>
    <row r="21" spans="1:3" x14ac:dyDescent="0.25">
      <c r="B21" t="str">
        <f t="shared" si="0"/>
        <v/>
      </c>
    </row>
    <row r="22" spans="1:3" x14ac:dyDescent="0.25">
      <c r="B22" t="str">
        <f t="shared" si="0"/>
        <v/>
      </c>
    </row>
    <row r="23" spans="1:3" x14ac:dyDescent="0.25">
      <c r="B23" t="str">
        <f t="shared" si="0"/>
        <v/>
      </c>
    </row>
    <row r="24" spans="1:3" x14ac:dyDescent="0.25">
      <c r="B24" t="str">
        <f t="shared" si="0"/>
        <v/>
      </c>
    </row>
    <row r="25" spans="1:3" x14ac:dyDescent="0.25">
      <c r="B25" t="str">
        <f t="shared" si="0"/>
        <v/>
      </c>
    </row>
    <row r="26" spans="1:3" x14ac:dyDescent="0.25">
      <c r="B26" t="str">
        <f t="shared" si="0"/>
        <v/>
      </c>
    </row>
    <row r="27" spans="1:3" x14ac:dyDescent="0.25">
      <c r="B27" t="str">
        <f t="shared" si="0"/>
        <v/>
      </c>
    </row>
    <row r="28" spans="1:3" x14ac:dyDescent="0.25">
      <c r="B28" t="str">
        <f t="shared" si="0"/>
        <v/>
      </c>
    </row>
    <row r="29" spans="1:3" x14ac:dyDescent="0.25">
      <c r="B29" t="str">
        <f t="shared" si="0"/>
        <v/>
      </c>
    </row>
    <row r="30" spans="1:3" x14ac:dyDescent="0.25">
      <c r="B30" t="str">
        <f t="shared" si="0"/>
        <v/>
      </c>
    </row>
    <row r="31" spans="1:3" x14ac:dyDescent="0.25">
      <c r="B31" t="str">
        <f t="shared" si="0"/>
        <v/>
      </c>
    </row>
    <row r="32" spans="1:3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0" si="1">PROPER(A34)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CC"/>
  </sheetPr>
  <dimension ref="A1:C7"/>
  <sheetViews>
    <sheetView workbookViewId="0"/>
  </sheetViews>
  <sheetFormatPr defaultRowHeight="15" x14ac:dyDescent="0.25"/>
  <cols>
    <col min="1" max="1" width="11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20</v>
      </c>
      <c r="B2" t="s">
        <v>243</v>
      </c>
      <c r="C2" t="s">
        <v>244</v>
      </c>
    </row>
    <row r="3" spans="1:3" x14ac:dyDescent="0.25">
      <c r="A3" t="s">
        <v>29</v>
      </c>
      <c r="B3" t="s">
        <v>245</v>
      </c>
      <c r="C3" t="s">
        <v>246</v>
      </c>
    </row>
    <row r="4" spans="1:3" x14ac:dyDescent="0.25">
      <c r="A4" t="s">
        <v>77</v>
      </c>
      <c r="B4" t="s">
        <v>247</v>
      </c>
      <c r="C4" t="s">
        <v>248</v>
      </c>
    </row>
    <row r="5" spans="1:3" x14ac:dyDescent="0.25">
      <c r="A5" t="s">
        <v>84</v>
      </c>
      <c r="B5" t="s">
        <v>249</v>
      </c>
      <c r="C5" t="s">
        <v>250</v>
      </c>
    </row>
    <row r="6" spans="1:3" x14ac:dyDescent="0.25">
      <c r="A6" t="s">
        <v>90</v>
      </c>
      <c r="B6" t="s">
        <v>251</v>
      </c>
      <c r="C6" t="s">
        <v>252</v>
      </c>
    </row>
    <row r="7" spans="1:3" x14ac:dyDescent="0.25">
      <c r="A7" t="s">
        <v>96</v>
      </c>
      <c r="B7" t="s">
        <v>253</v>
      </c>
      <c r="C7" t="s">
        <v>254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 tint="0.39997558519241921"/>
  </sheetPr>
  <dimension ref="A1:K29"/>
  <sheetViews>
    <sheetView workbookViewId="0">
      <pane ySplit="1" topLeftCell="A2" activePane="bottomLeft" state="frozen"/>
      <selection pane="bottomLeft" activeCell="A5" sqref="A5:XFD5"/>
    </sheetView>
  </sheetViews>
  <sheetFormatPr defaultRowHeight="15" x14ac:dyDescent="0.25"/>
  <cols>
    <col min="1" max="1" width="22.28515625" customWidth="1"/>
    <col min="2" max="4" width="22.140625" customWidth="1"/>
    <col min="5" max="5" width="44.42578125" customWidth="1"/>
    <col min="6" max="6" width="57.5703125" customWidth="1"/>
    <col min="7" max="7" width="28.7109375" customWidth="1"/>
    <col min="8" max="8" width="15" customWidth="1"/>
    <col min="9" max="9" width="24.28515625" customWidth="1"/>
    <col min="10" max="10" width="16.42578125" bestFit="1" customWidth="1"/>
  </cols>
  <sheetData>
    <row r="1" spans="1:11" x14ac:dyDescent="0.25">
      <c r="A1" s="4" t="s">
        <v>0</v>
      </c>
      <c r="B1" s="4" t="s">
        <v>1</v>
      </c>
      <c r="C1" s="4" t="s">
        <v>255</v>
      </c>
      <c r="D1" s="4" t="s">
        <v>256</v>
      </c>
      <c r="E1" s="4" t="s">
        <v>2</v>
      </c>
      <c r="F1" s="4" t="s">
        <v>257</v>
      </c>
      <c r="G1" s="4" t="s">
        <v>258</v>
      </c>
      <c r="H1" s="4" t="s">
        <v>259</v>
      </c>
      <c r="I1" s="4" t="s">
        <v>260</v>
      </c>
      <c r="J1" s="4" t="s">
        <v>261</v>
      </c>
      <c r="K1" s="3" t="s">
        <v>16</v>
      </c>
    </row>
    <row r="2" spans="1:11" x14ac:dyDescent="0.25">
      <c r="A2" t="s">
        <v>262</v>
      </c>
      <c r="B2" t="str">
        <f t="shared" ref="B2:B21" si="0">PROPER(SUBSTITUTE(A2,"_"," "))</f>
        <v>Inedible Mess</v>
      </c>
      <c r="C2" t="s">
        <v>263</v>
      </c>
      <c r="D2">
        <v>1</v>
      </c>
      <c r="E2" t="s">
        <v>264</v>
      </c>
      <c r="F2" t="s">
        <v>265</v>
      </c>
      <c r="G2" t="s">
        <v>266</v>
      </c>
      <c r="H2">
        <v>3</v>
      </c>
      <c r="I2" t="s">
        <v>267</v>
      </c>
      <c r="J2" s="2">
        <v>-5</v>
      </c>
      <c r="K2" t="b">
        <v>1</v>
      </c>
    </row>
    <row r="3" spans="1:11" x14ac:dyDescent="0.25">
      <c r="A3" t="s">
        <v>268</v>
      </c>
      <c r="B3" t="str">
        <f t="shared" si="0"/>
        <v>Disappointing Plate</v>
      </c>
      <c r="C3" t="s">
        <v>269</v>
      </c>
      <c r="D3">
        <v>1</v>
      </c>
      <c r="E3" t="s">
        <v>270</v>
      </c>
      <c r="F3" t="s">
        <v>271</v>
      </c>
      <c r="G3" t="s">
        <v>272</v>
      </c>
      <c r="H3">
        <v>3</v>
      </c>
      <c r="I3" t="s">
        <v>273</v>
      </c>
      <c r="J3" s="2">
        <v>-2</v>
      </c>
      <c r="K3" t="b">
        <v>1</v>
      </c>
    </row>
    <row r="4" spans="1:11" x14ac:dyDescent="0.25">
      <c r="A4" t="s">
        <v>274</v>
      </c>
      <c r="B4" t="str">
        <f t="shared" si="0"/>
        <v>Plain But Filling</v>
      </c>
      <c r="C4" t="s">
        <v>275</v>
      </c>
      <c r="D4">
        <v>1</v>
      </c>
      <c r="E4" t="s">
        <v>276</v>
      </c>
      <c r="F4" t="s">
        <v>277</v>
      </c>
      <c r="G4" t="s">
        <v>278</v>
      </c>
      <c r="H4">
        <v>3</v>
      </c>
      <c r="I4" t="s">
        <v>279</v>
      </c>
      <c r="J4" s="2">
        <v>1</v>
      </c>
      <c r="K4" t="b">
        <v>1</v>
      </c>
    </row>
    <row r="5" spans="1:11" x14ac:dyDescent="0.25">
      <c r="A5" t="s">
        <v>280</v>
      </c>
      <c r="B5" t="str">
        <f t="shared" si="0"/>
        <v>Solid Meal</v>
      </c>
      <c r="C5" t="s">
        <v>281</v>
      </c>
      <c r="D5">
        <v>1</v>
      </c>
      <c r="E5" t="s">
        <v>282</v>
      </c>
      <c r="F5" t="s">
        <v>283</v>
      </c>
      <c r="G5" t="s">
        <v>284</v>
      </c>
      <c r="H5">
        <v>3</v>
      </c>
      <c r="I5" t="s">
        <v>285</v>
      </c>
      <c r="J5" s="2">
        <v>3</v>
      </c>
      <c r="K5" t="b">
        <v>1</v>
      </c>
    </row>
    <row r="6" spans="1:11" x14ac:dyDescent="0.25">
      <c r="A6" t="s">
        <v>286</v>
      </c>
      <c r="B6" t="str">
        <f t="shared" si="0"/>
        <v>Memorable Feast</v>
      </c>
      <c r="C6" t="s">
        <v>287</v>
      </c>
      <c r="D6">
        <v>1</v>
      </c>
      <c r="E6" t="s">
        <v>288</v>
      </c>
      <c r="F6" t="s">
        <v>289</v>
      </c>
      <c r="G6" t="s">
        <v>290</v>
      </c>
      <c r="H6">
        <v>3</v>
      </c>
      <c r="I6" t="s">
        <v>291</v>
      </c>
      <c r="J6" s="2">
        <v>7</v>
      </c>
      <c r="K6" t="b">
        <v>1</v>
      </c>
    </row>
    <row r="7" spans="1:11" x14ac:dyDescent="0.25">
      <c r="A7" t="s">
        <v>292</v>
      </c>
      <c r="B7" t="str">
        <f t="shared" si="0"/>
        <v>Standing Supper</v>
      </c>
      <c r="C7" t="s">
        <v>292</v>
      </c>
      <c r="D7">
        <v>1</v>
      </c>
      <c r="E7" t="s">
        <v>293</v>
      </c>
      <c r="F7" t="s">
        <v>294</v>
      </c>
      <c r="H7">
        <v>3</v>
      </c>
      <c r="I7" t="s">
        <v>295</v>
      </c>
      <c r="J7" s="2">
        <v>-1</v>
      </c>
      <c r="K7" t="b">
        <v>1</v>
      </c>
    </row>
    <row r="8" spans="1:11" x14ac:dyDescent="0.25">
      <c r="A8" t="s">
        <v>296</v>
      </c>
      <c r="B8" t="str">
        <f t="shared" si="0"/>
        <v>Visibly Unimpressed</v>
      </c>
      <c r="C8" t="s">
        <v>297</v>
      </c>
      <c r="D8">
        <v>1</v>
      </c>
      <c r="E8" t="s">
        <v>298</v>
      </c>
      <c r="F8" t="s">
        <v>299</v>
      </c>
      <c r="G8" t="s">
        <v>300</v>
      </c>
      <c r="H8">
        <v>500</v>
      </c>
      <c r="I8" t="s">
        <v>301</v>
      </c>
      <c r="J8" s="2">
        <v>-1</v>
      </c>
      <c r="K8" t="b">
        <v>1</v>
      </c>
    </row>
    <row r="9" spans="1:11" x14ac:dyDescent="0.25">
      <c r="A9" t="s">
        <v>302</v>
      </c>
      <c r="B9" t="str">
        <f t="shared" si="0"/>
        <v>Passable Surroundings</v>
      </c>
      <c r="C9" t="s">
        <v>303</v>
      </c>
      <c r="D9">
        <v>1</v>
      </c>
      <c r="E9" t="s">
        <v>304</v>
      </c>
      <c r="F9" t="s">
        <v>305</v>
      </c>
      <c r="G9" t="s">
        <v>300</v>
      </c>
      <c r="H9">
        <v>1000</v>
      </c>
      <c r="I9" t="s">
        <v>306</v>
      </c>
      <c r="J9" s="2">
        <v>1</v>
      </c>
      <c r="K9" t="b">
        <v>1</v>
      </c>
    </row>
    <row r="10" spans="1:11" x14ac:dyDescent="0.25">
      <c r="A10" t="s">
        <v>307</v>
      </c>
      <c r="B10" t="str">
        <f t="shared" si="0"/>
        <v>Pleasant Ambience</v>
      </c>
      <c r="C10" t="s">
        <v>303</v>
      </c>
      <c r="D10">
        <v>2</v>
      </c>
      <c r="E10" t="s">
        <v>308</v>
      </c>
      <c r="F10" t="s">
        <v>309</v>
      </c>
      <c r="G10" t="s">
        <v>300</v>
      </c>
      <c r="H10">
        <v>1750</v>
      </c>
      <c r="I10" t="s">
        <v>310</v>
      </c>
      <c r="J10" s="2">
        <v>2</v>
      </c>
      <c r="K10" t="b">
        <v>1</v>
      </c>
    </row>
    <row r="11" spans="1:11" x14ac:dyDescent="0.25">
      <c r="A11" t="s">
        <v>311</v>
      </c>
      <c r="B11" t="str">
        <f t="shared" si="0"/>
        <v>Tasteful Trim</v>
      </c>
      <c r="C11" t="s">
        <v>303</v>
      </c>
      <c r="D11">
        <v>3</v>
      </c>
      <c r="E11" t="s">
        <v>312</v>
      </c>
      <c r="F11" t="s">
        <v>313</v>
      </c>
      <c r="G11" t="s">
        <v>300</v>
      </c>
      <c r="H11">
        <v>3000</v>
      </c>
      <c r="I11" t="s">
        <v>314</v>
      </c>
      <c r="J11" s="2">
        <v>4</v>
      </c>
      <c r="K11" t="b">
        <v>1</v>
      </c>
    </row>
    <row r="12" spans="1:11" x14ac:dyDescent="0.25">
      <c r="A12" t="s">
        <v>315</v>
      </c>
      <c r="B12" t="str">
        <f t="shared" si="0"/>
        <v>Stunned By Splendor</v>
      </c>
      <c r="C12" t="s">
        <v>303</v>
      </c>
      <c r="D12">
        <v>4</v>
      </c>
      <c r="E12" t="s">
        <v>316</v>
      </c>
      <c r="F12" t="s">
        <v>317</v>
      </c>
      <c r="G12" t="s">
        <v>300</v>
      </c>
      <c r="H12">
        <v>4000</v>
      </c>
      <c r="I12" t="s">
        <v>318</v>
      </c>
      <c r="J12" s="2">
        <v>7</v>
      </c>
      <c r="K12" t="b">
        <v>1</v>
      </c>
    </row>
    <row r="13" spans="1:11" x14ac:dyDescent="0.25">
      <c r="A13" t="s">
        <v>319</v>
      </c>
      <c r="B13" t="str">
        <f t="shared" si="0"/>
        <v>Perched On Pine</v>
      </c>
      <c r="C13" t="s">
        <v>320</v>
      </c>
      <c r="D13">
        <v>1</v>
      </c>
      <c r="E13" t="s">
        <v>321</v>
      </c>
      <c r="F13" t="s">
        <v>322</v>
      </c>
      <c r="G13" t="s">
        <v>323</v>
      </c>
      <c r="H13">
        <v>100</v>
      </c>
      <c r="I13" t="s">
        <v>324</v>
      </c>
      <c r="J13" s="2">
        <v>-2</v>
      </c>
      <c r="K13" t="b">
        <v>1</v>
      </c>
    </row>
    <row r="14" spans="1:11" x14ac:dyDescent="0.25">
      <c r="A14" t="s">
        <v>325</v>
      </c>
      <c r="B14" t="str">
        <f t="shared" si="0"/>
        <v>Comfy</v>
      </c>
      <c r="C14" t="s">
        <v>326</v>
      </c>
      <c r="D14">
        <v>1</v>
      </c>
      <c r="E14" t="s">
        <v>327</v>
      </c>
      <c r="F14" t="s">
        <v>328</v>
      </c>
      <c r="G14" t="s">
        <v>329</v>
      </c>
      <c r="H14">
        <v>200</v>
      </c>
      <c r="I14" t="s">
        <v>330</v>
      </c>
      <c r="J14" s="2">
        <v>2</v>
      </c>
      <c r="K14" t="b">
        <v>1</v>
      </c>
    </row>
    <row r="15" spans="1:11" x14ac:dyDescent="0.25">
      <c r="A15" t="s">
        <v>331</v>
      </c>
      <c r="B15" t="str">
        <f t="shared" si="0"/>
        <v>Well Cushioned</v>
      </c>
      <c r="C15" t="s">
        <v>326</v>
      </c>
      <c r="D15">
        <v>2</v>
      </c>
      <c r="E15" t="s">
        <v>332</v>
      </c>
      <c r="F15" t="s">
        <v>333</v>
      </c>
      <c r="G15" t="s">
        <v>329</v>
      </c>
      <c r="H15">
        <v>400</v>
      </c>
      <c r="I15" t="s">
        <v>334</v>
      </c>
      <c r="J15" s="2">
        <v>4</v>
      </c>
      <c r="K15" t="b">
        <v>1</v>
      </c>
    </row>
    <row r="16" spans="1:11" x14ac:dyDescent="0.25">
      <c r="A16" t="s">
        <v>335</v>
      </c>
      <c r="B16" t="str">
        <f t="shared" si="0"/>
        <v>Restless Night</v>
      </c>
      <c r="C16" t="s">
        <v>336</v>
      </c>
      <c r="D16">
        <v>1</v>
      </c>
      <c r="E16" t="s">
        <v>337</v>
      </c>
      <c r="F16" t="s">
        <v>338</v>
      </c>
      <c r="G16" t="s">
        <v>339</v>
      </c>
      <c r="H16">
        <v>120</v>
      </c>
      <c r="J16" s="2">
        <v>-1</v>
      </c>
      <c r="K16" t="b">
        <v>1</v>
      </c>
    </row>
    <row r="17" spans="1:11" x14ac:dyDescent="0.25">
      <c r="A17" t="s">
        <v>340</v>
      </c>
      <c r="B17" t="str">
        <f t="shared" si="0"/>
        <v>Sound Sleep</v>
      </c>
      <c r="C17" t="s">
        <v>341</v>
      </c>
      <c r="D17">
        <v>1</v>
      </c>
      <c r="E17" t="s">
        <v>342</v>
      </c>
      <c r="F17" t="s">
        <v>343</v>
      </c>
      <c r="G17" t="s">
        <v>344</v>
      </c>
      <c r="H17">
        <v>240</v>
      </c>
      <c r="J17" s="2">
        <v>2</v>
      </c>
      <c r="K17" t="b">
        <v>1</v>
      </c>
    </row>
    <row r="18" spans="1:11" x14ac:dyDescent="0.25">
      <c r="A18" t="s">
        <v>345</v>
      </c>
      <c r="B18" t="str">
        <f t="shared" si="0"/>
        <v>Cloud Nine</v>
      </c>
      <c r="C18" t="s">
        <v>341</v>
      </c>
      <c r="D18">
        <v>2</v>
      </c>
      <c r="E18" t="s">
        <v>346</v>
      </c>
      <c r="F18" t="s">
        <v>347</v>
      </c>
      <c r="G18" t="s">
        <v>344</v>
      </c>
      <c r="H18">
        <v>500</v>
      </c>
      <c r="J18" s="2">
        <v>4</v>
      </c>
      <c r="K18" t="b">
        <v>1</v>
      </c>
    </row>
    <row r="19" spans="1:11" x14ac:dyDescent="0.25">
      <c r="A19" t="s">
        <v>348</v>
      </c>
      <c r="B19" t="str">
        <f t="shared" si="0"/>
        <v>Hungry</v>
      </c>
      <c r="C19" t="s">
        <v>349</v>
      </c>
      <c r="D19">
        <v>1</v>
      </c>
      <c r="E19" t="s">
        <v>350</v>
      </c>
      <c r="F19" t="s">
        <v>351</v>
      </c>
      <c r="G19" t="s">
        <v>323</v>
      </c>
      <c r="H19">
        <v>180</v>
      </c>
      <c r="J19" s="2">
        <v>-2</v>
      </c>
      <c r="K19" t="b">
        <v>1</v>
      </c>
    </row>
    <row r="20" spans="1:11" x14ac:dyDescent="0.25">
      <c r="A20" t="s">
        <v>352</v>
      </c>
      <c r="B20" t="str">
        <f t="shared" si="0"/>
        <v>Starving</v>
      </c>
      <c r="C20" t="s">
        <v>349</v>
      </c>
      <c r="D20">
        <v>2</v>
      </c>
      <c r="E20" t="s">
        <v>353</v>
      </c>
      <c r="F20" t="s">
        <v>354</v>
      </c>
      <c r="G20" t="s">
        <v>323</v>
      </c>
      <c r="H20">
        <v>500</v>
      </c>
      <c r="J20" s="2">
        <v>-4</v>
      </c>
      <c r="K20" t="b">
        <v>1</v>
      </c>
    </row>
    <row r="21" spans="1:11" x14ac:dyDescent="0.25">
      <c r="A21" t="s">
        <v>475</v>
      </c>
      <c r="B21" t="str">
        <f t="shared" si="0"/>
        <v>Slow Queue</v>
      </c>
      <c r="C21" t="s">
        <v>475</v>
      </c>
      <c r="D21">
        <v>1</v>
      </c>
      <c r="E21" t="s">
        <v>473</v>
      </c>
      <c r="F21" t="s">
        <v>474</v>
      </c>
      <c r="G21" t="s">
        <v>323</v>
      </c>
      <c r="H21">
        <v>180</v>
      </c>
      <c r="J21" s="2">
        <v>-2</v>
      </c>
      <c r="K21" t="b">
        <v>0</v>
      </c>
    </row>
    <row r="22" spans="1:11" x14ac:dyDescent="0.25">
      <c r="A22" t="s">
        <v>355</v>
      </c>
      <c r="B22" t="str">
        <f>PROPER(SUBSTITUTE(A22,"_"," "))</f>
        <v>Debug Low Happiness</v>
      </c>
      <c r="F22" t="s">
        <v>356</v>
      </c>
      <c r="J22" s="2">
        <v>5</v>
      </c>
      <c r="K22" t="b">
        <v>0</v>
      </c>
    </row>
    <row r="23" spans="1:11" x14ac:dyDescent="0.25">
      <c r="A23" t="s">
        <v>357</v>
      </c>
      <c r="B23" t="str">
        <f>PROPER(SUBSTITUTE(A23,"_"," "))</f>
        <v>Debug Medium Happiness</v>
      </c>
      <c r="F23" t="s">
        <v>356</v>
      </c>
      <c r="J23" s="2">
        <v>10</v>
      </c>
      <c r="K23" t="b">
        <v>0</v>
      </c>
    </row>
    <row r="24" spans="1:11" x14ac:dyDescent="0.25">
      <c r="A24" t="s">
        <v>358</v>
      </c>
      <c r="B24" t="str">
        <f>PROPER(SUBSTITUTE(A24,"_"," "))</f>
        <v>Debug High Happiness</v>
      </c>
      <c r="F24" t="s">
        <v>356</v>
      </c>
      <c r="J24" s="2">
        <v>20</v>
      </c>
      <c r="K24" t="b">
        <v>0</v>
      </c>
    </row>
    <row r="26" spans="1:11" x14ac:dyDescent="0.25">
      <c r="E26" t="s">
        <v>479</v>
      </c>
      <c r="F26" t="s">
        <v>478</v>
      </c>
    </row>
    <row r="27" spans="1:11" x14ac:dyDescent="0.25">
      <c r="A27" t="s">
        <v>477</v>
      </c>
      <c r="E27" t="s">
        <v>476</v>
      </c>
      <c r="F27" t="s">
        <v>480</v>
      </c>
    </row>
    <row r="28" spans="1:11" x14ac:dyDescent="0.25">
      <c r="E28" t="s">
        <v>481</v>
      </c>
    </row>
    <row r="29" spans="1:11" x14ac:dyDescent="0.25">
      <c r="E29" t="s">
        <v>482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86ED4"/>
  </sheetPr>
  <dimension ref="A1:J16"/>
  <sheetViews>
    <sheetView tabSelected="1" workbookViewId="0">
      <selection activeCell="D10" sqref="D10"/>
    </sheetView>
  </sheetViews>
  <sheetFormatPr defaultRowHeight="15" x14ac:dyDescent="0.25"/>
  <cols>
    <col min="1" max="1" width="12.5703125" bestFit="1" customWidth="1"/>
    <col min="2" max="2" width="16.5703125" customWidth="1"/>
    <col min="3" max="3" width="34.85546875" bestFit="1" customWidth="1"/>
    <col min="4" max="5" width="20.5703125" customWidth="1"/>
    <col min="6" max="7" width="15.5703125" customWidth="1"/>
    <col min="9" max="9" width="34" customWidth="1"/>
  </cols>
  <sheetData>
    <row r="1" spans="1:10" x14ac:dyDescent="0.25">
      <c r="A1" s="4" t="s">
        <v>0</v>
      </c>
      <c r="B1" s="4" t="s">
        <v>1</v>
      </c>
      <c r="C1" s="4" t="s">
        <v>359</v>
      </c>
      <c r="D1" s="4" t="s">
        <v>360</v>
      </c>
      <c r="E1" s="4" t="s">
        <v>361</v>
      </c>
      <c r="F1" s="4" t="s">
        <v>362</v>
      </c>
      <c r="G1" s="4" t="s">
        <v>363</v>
      </c>
      <c r="H1" s="4" t="s">
        <v>364</v>
      </c>
      <c r="I1" s="4" t="s">
        <v>365</v>
      </c>
      <c r="J1" s="4" t="s">
        <v>16</v>
      </c>
    </row>
    <row r="2" spans="1:10" x14ac:dyDescent="0.25">
      <c r="A2" t="s">
        <v>366</v>
      </c>
      <c r="B2" t="s">
        <v>367</v>
      </c>
      <c r="C2" s="1" t="s">
        <v>469</v>
      </c>
      <c r="D2" s="3"/>
      <c r="E2" s="3"/>
      <c r="F2" s="3">
        <v>0</v>
      </c>
      <c r="G2" t="b">
        <v>1</v>
      </c>
      <c r="H2" s="3"/>
      <c r="I2" t="s">
        <v>368</v>
      </c>
      <c r="J2" t="b">
        <v>1</v>
      </c>
    </row>
    <row r="3" spans="1:10" x14ac:dyDescent="0.25">
      <c r="A3" t="s">
        <v>369</v>
      </c>
      <c r="B3" t="s">
        <v>370</v>
      </c>
      <c r="C3" s="1" t="s">
        <v>467</v>
      </c>
      <c r="D3" s="3"/>
      <c r="E3" s="3"/>
      <c r="F3" s="3">
        <v>0</v>
      </c>
      <c r="G3" t="b">
        <v>1</v>
      </c>
      <c r="H3" s="3"/>
      <c r="I3" t="s">
        <v>371</v>
      </c>
      <c r="J3" t="b">
        <v>1</v>
      </c>
    </row>
    <row r="4" spans="1:10" x14ac:dyDescent="0.25">
      <c r="A4" t="s">
        <v>372</v>
      </c>
      <c r="B4" t="s">
        <v>373</v>
      </c>
      <c r="C4" s="1" t="s">
        <v>374</v>
      </c>
      <c r="D4" s="3"/>
      <c r="E4" s="3"/>
      <c r="F4" s="3">
        <v>0</v>
      </c>
      <c r="G4" t="b">
        <v>0</v>
      </c>
      <c r="H4" s="3"/>
      <c r="I4" t="s">
        <v>375</v>
      </c>
      <c r="J4" t="b">
        <v>1</v>
      </c>
    </row>
    <row r="5" spans="1:10" x14ac:dyDescent="0.25">
      <c r="A5" t="s">
        <v>376</v>
      </c>
      <c r="B5" t="s">
        <v>377</v>
      </c>
      <c r="C5" s="1" t="s">
        <v>470</v>
      </c>
      <c r="D5" s="3"/>
      <c r="E5" s="3"/>
      <c r="F5" s="3">
        <v>0</v>
      </c>
      <c r="G5" t="b">
        <v>1</v>
      </c>
      <c r="H5" s="3"/>
      <c r="I5" t="s">
        <v>378</v>
      </c>
      <c r="J5" t="b">
        <v>1</v>
      </c>
    </row>
    <row r="6" spans="1:10" x14ac:dyDescent="0.25">
      <c r="A6" t="s">
        <v>484</v>
      </c>
      <c r="B6" t="s">
        <v>485</v>
      </c>
      <c r="C6" s="1" t="s">
        <v>471</v>
      </c>
      <c r="D6" s="3"/>
      <c r="E6" s="3"/>
      <c r="F6" s="3">
        <v>0</v>
      </c>
      <c r="G6" t="b">
        <v>1</v>
      </c>
      <c r="H6" s="3"/>
      <c r="I6" t="s">
        <v>381</v>
      </c>
      <c r="J6" t="b">
        <v>1</v>
      </c>
    </row>
    <row r="7" spans="1:10" x14ac:dyDescent="0.25">
      <c r="A7" t="s">
        <v>382</v>
      </c>
      <c r="B7" t="s">
        <v>383</v>
      </c>
      <c r="C7" s="1" t="s">
        <v>384</v>
      </c>
      <c r="D7" s="1"/>
      <c r="E7" s="1"/>
      <c r="F7">
        <v>2</v>
      </c>
      <c r="G7" t="b">
        <v>1</v>
      </c>
      <c r="I7" t="s">
        <v>385</v>
      </c>
      <c r="J7" t="b">
        <v>1</v>
      </c>
    </row>
    <row r="8" spans="1:10" x14ac:dyDescent="0.25">
      <c r="A8" t="s">
        <v>386</v>
      </c>
      <c r="B8" t="s">
        <v>387</v>
      </c>
      <c r="C8" s="1" t="s">
        <v>388</v>
      </c>
      <c r="D8" s="1" t="s">
        <v>389</v>
      </c>
      <c r="F8">
        <v>3</v>
      </c>
      <c r="G8" t="b">
        <v>1</v>
      </c>
      <c r="I8" t="s">
        <v>390</v>
      </c>
      <c r="J8" t="b">
        <v>1</v>
      </c>
    </row>
    <row r="9" spans="1:10" x14ac:dyDescent="0.25">
      <c r="A9" t="s">
        <v>391</v>
      </c>
      <c r="B9" t="s">
        <v>392</v>
      </c>
      <c r="C9" s="1" t="s">
        <v>393</v>
      </c>
      <c r="F9">
        <v>2</v>
      </c>
      <c r="G9" t="b">
        <v>1</v>
      </c>
      <c r="I9" t="s">
        <v>394</v>
      </c>
      <c r="J9" t="b">
        <v>1</v>
      </c>
    </row>
    <row r="10" spans="1:10" x14ac:dyDescent="0.25">
      <c r="A10" t="s">
        <v>395</v>
      </c>
      <c r="B10" t="s">
        <v>396</v>
      </c>
      <c r="C10" s="1" t="s">
        <v>397</v>
      </c>
      <c r="F10">
        <v>2</v>
      </c>
      <c r="G10" t="b">
        <v>1</v>
      </c>
      <c r="I10" t="s">
        <v>398</v>
      </c>
      <c r="J10" t="b">
        <v>1</v>
      </c>
    </row>
    <row r="11" spans="1:10" x14ac:dyDescent="0.25">
      <c r="A11" t="s">
        <v>399</v>
      </c>
      <c r="B11" t="s">
        <v>400</v>
      </c>
      <c r="C11" s="1" t="s">
        <v>401</v>
      </c>
      <c r="D11" t="s">
        <v>402</v>
      </c>
      <c r="F11">
        <v>4</v>
      </c>
      <c r="G11" t="b">
        <v>0</v>
      </c>
      <c r="I11" t="s">
        <v>403</v>
      </c>
      <c r="J11" t="b">
        <v>1</v>
      </c>
    </row>
    <row r="12" spans="1:10" x14ac:dyDescent="0.25">
      <c r="A12" t="s">
        <v>404</v>
      </c>
      <c r="B12" t="s">
        <v>405</v>
      </c>
      <c r="C12" t="s">
        <v>406</v>
      </c>
      <c r="F12">
        <v>5</v>
      </c>
      <c r="G12" t="b">
        <v>1</v>
      </c>
      <c r="J12" t="b">
        <v>1</v>
      </c>
    </row>
    <row r="13" spans="1:10" x14ac:dyDescent="0.25">
      <c r="A13" t="s">
        <v>407</v>
      </c>
      <c r="B13" t="s">
        <v>408</v>
      </c>
      <c r="C13" s="11" t="s">
        <v>409</v>
      </c>
      <c r="F13">
        <v>2</v>
      </c>
      <c r="G13" t="b">
        <v>1</v>
      </c>
      <c r="J13" t="b">
        <v>1</v>
      </c>
    </row>
    <row r="14" spans="1:10" x14ac:dyDescent="0.25">
      <c r="A14" t="s">
        <v>410</v>
      </c>
      <c r="B14" t="s">
        <v>411</v>
      </c>
      <c r="I14" t="s">
        <v>412</v>
      </c>
      <c r="J14" t="b">
        <v>0</v>
      </c>
    </row>
    <row r="15" spans="1:10" x14ac:dyDescent="0.25">
      <c r="A15" t="s">
        <v>413</v>
      </c>
      <c r="B15" t="s">
        <v>414</v>
      </c>
      <c r="J15" t="b">
        <v>0</v>
      </c>
    </row>
    <row r="16" spans="1:10" x14ac:dyDescent="0.25">
      <c r="A16" t="s">
        <v>379</v>
      </c>
      <c r="B16" t="s">
        <v>380</v>
      </c>
      <c r="C16" s="1" t="s">
        <v>483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4"/>
  <sheetViews>
    <sheetView workbookViewId="0">
      <selection activeCell="C5" sqref="C5"/>
    </sheetView>
  </sheetViews>
  <sheetFormatPr defaultRowHeight="15" x14ac:dyDescent="0.25"/>
  <cols>
    <col min="3" max="3" width="38.7109375" bestFit="1" customWidth="1"/>
  </cols>
  <sheetData>
    <row r="1" spans="1:3" x14ac:dyDescent="0.25">
      <c r="A1" s="4" t="s">
        <v>0</v>
      </c>
      <c r="B1" s="4" t="s">
        <v>1</v>
      </c>
      <c r="C1" s="4" t="s">
        <v>359</v>
      </c>
    </row>
    <row r="2" spans="1:3" x14ac:dyDescent="0.25">
      <c r="A2" t="s">
        <v>415</v>
      </c>
      <c r="C2" t="s">
        <v>416</v>
      </c>
    </row>
    <row r="3" spans="1:3" x14ac:dyDescent="0.25">
      <c r="A3" t="s">
        <v>417</v>
      </c>
      <c r="C3" t="s">
        <v>418</v>
      </c>
    </row>
    <row r="4" spans="1:3" x14ac:dyDescent="0.25">
      <c r="A4" t="s">
        <v>419</v>
      </c>
      <c r="C4" t="s">
        <v>420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sheetData>
    <row r="2" spans="1:4" ht="15.6" customHeight="1" x14ac:dyDescent="0.25">
      <c r="A2" s="5" t="s">
        <v>421</v>
      </c>
      <c r="B2" s="3" t="s">
        <v>7</v>
      </c>
      <c r="C2" t="s">
        <v>21</v>
      </c>
      <c r="D2" t="s">
        <v>110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76"/>
  <sheetViews>
    <sheetView workbookViewId="0">
      <pane ySplit="1" topLeftCell="A29" activePane="bottomLeft" state="frozen"/>
      <selection pane="bottomLeft" activeCell="C47" sqref="C47"/>
    </sheetView>
  </sheetViews>
  <sheetFormatPr defaultRowHeight="15" x14ac:dyDescent="0.25"/>
  <cols>
    <col min="1" max="1" width="14.7109375" customWidth="1"/>
    <col min="2" max="2" width="27.5703125" customWidth="1"/>
  </cols>
  <sheetData>
    <row r="1" spans="1:3" x14ac:dyDescent="0.25">
      <c r="A1" t="s">
        <v>422</v>
      </c>
      <c r="B1" t="s">
        <v>423</v>
      </c>
      <c r="C1" t="s">
        <v>3</v>
      </c>
    </row>
    <row r="2" spans="1:3" x14ac:dyDescent="0.25">
      <c r="A2" t="s">
        <v>424</v>
      </c>
      <c r="B2" t="s">
        <v>0</v>
      </c>
      <c r="C2" t="s">
        <v>425</v>
      </c>
    </row>
    <row r="3" spans="1:3" x14ac:dyDescent="0.25">
      <c r="A3" t="s">
        <v>424</v>
      </c>
      <c r="B3" t="s">
        <v>1</v>
      </c>
      <c r="C3" t="s">
        <v>425</v>
      </c>
    </row>
    <row r="4" spans="1:3" x14ac:dyDescent="0.25">
      <c r="A4" t="s">
        <v>424</v>
      </c>
      <c r="B4" t="s">
        <v>2</v>
      </c>
      <c r="C4" t="s">
        <v>425</v>
      </c>
    </row>
    <row r="5" spans="1:3" x14ac:dyDescent="0.25">
      <c r="A5" t="s">
        <v>424</v>
      </c>
      <c r="B5" t="s">
        <v>124</v>
      </c>
      <c r="C5" t="s">
        <v>425</v>
      </c>
    </row>
    <row r="6" spans="1:3" x14ac:dyDescent="0.25">
      <c r="A6" t="s">
        <v>424</v>
      </c>
      <c r="B6" t="s">
        <v>125</v>
      </c>
      <c r="C6" t="s">
        <v>425</v>
      </c>
    </row>
    <row r="7" spans="1:3" x14ac:dyDescent="0.25">
      <c r="A7" t="s">
        <v>424</v>
      </c>
      <c r="B7" t="s">
        <v>126</v>
      </c>
      <c r="C7" t="s">
        <v>425</v>
      </c>
    </row>
    <row r="8" spans="1:3" x14ac:dyDescent="0.25">
      <c r="A8" t="s">
        <v>424</v>
      </c>
      <c r="B8" t="s">
        <v>127</v>
      </c>
      <c r="C8" t="s">
        <v>425</v>
      </c>
    </row>
    <row r="9" spans="1:3" x14ac:dyDescent="0.25">
      <c r="A9" t="s">
        <v>424</v>
      </c>
      <c r="B9" t="s">
        <v>128</v>
      </c>
      <c r="C9" t="s">
        <v>425</v>
      </c>
    </row>
    <row r="10" spans="1:3" x14ac:dyDescent="0.25">
      <c r="A10" t="s">
        <v>424</v>
      </c>
      <c r="B10" t="s">
        <v>129</v>
      </c>
      <c r="C10" t="s">
        <v>425</v>
      </c>
    </row>
    <row r="11" spans="1:3" x14ac:dyDescent="0.25">
      <c r="A11" t="s">
        <v>424</v>
      </c>
      <c r="B11" t="s">
        <v>130</v>
      </c>
      <c r="C11" t="s">
        <v>425</v>
      </c>
    </row>
    <row r="12" spans="1:3" x14ac:dyDescent="0.25">
      <c r="A12" t="s">
        <v>424</v>
      </c>
      <c r="B12" t="s">
        <v>132</v>
      </c>
      <c r="C12" t="s">
        <v>425</v>
      </c>
    </row>
    <row r="13" spans="1:3" x14ac:dyDescent="0.25">
      <c r="A13" t="s">
        <v>424</v>
      </c>
      <c r="B13" t="s">
        <v>133</v>
      </c>
      <c r="C13" t="s">
        <v>426</v>
      </c>
    </row>
    <row r="14" spans="1:3" x14ac:dyDescent="0.25">
      <c r="A14" t="s">
        <v>424</v>
      </c>
      <c r="B14" t="s">
        <v>134</v>
      </c>
      <c r="C14" t="s">
        <v>427</v>
      </c>
    </row>
    <row r="15" spans="1:3" x14ac:dyDescent="0.25">
      <c r="A15" t="s">
        <v>424</v>
      </c>
      <c r="B15" t="s">
        <v>135</v>
      </c>
      <c r="C15" t="s">
        <v>425</v>
      </c>
    </row>
    <row r="16" spans="1:3" x14ac:dyDescent="0.25">
      <c r="A16" t="s">
        <v>424</v>
      </c>
      <c r="B16" t="s">
        <v>16</v>
      </c>
      <c r="C16" t="s">
        <v>428</v>
      </c>
    </row>
    <row r="17" spans="1:3" x14ac:dyDescent="0.25">
      <c r="A17" t="s">
        <v>421</v>
      </c>
      <c r="B17" t="s">
        <v>0</v>
      </c>
      <c r="C17" t="s">
        <v>425</v>
      </c>
    </row>
    <row r="18" spans="1:3" x14ac:dyDescent="0.25">
      <c r="A18" t="s">
        <v>421</v>
      </c>
      <c r="B18" t="s">
        <v>1</v>
      </c>
      <c r="C18" t="s">
        <v>425</v>
      </c>
    </row>
    <row r="19" spans="1:3" x14ac:dyDescent="0.25">
      <c r="A19" t="s">
        <v>421</v>
      </c>
      <c r="B19" t="s">
        <v>2</v>
      </c>
      <c r="C19" t="s">
        <v>425</v>
      </c>
    </row>
    <row r="20" spans="1:3" x14ac:dyDescent="0.25">
      <c r="A20" t="s">
        <v>421</v>
      </c>
      <c r="B20" t="s">
        <v>3</v>
      </c>
      <c r="C20" t="s">
        <v>425</v>
      </c>
    </row>
    <row r="21" spans="1:3" x14ac:dyDescent="0.25">
      <c r="A21" t="s">
        <v>421</v>
      </c>
      <c r="B21" t="s">
        <v>4</v>
      </c>
      <c r="C21" t="s">
        <v>425</v>
      </c>
    </row>
    <row r="22" spans="1:3" x14ac:dyDescent="0.25">
      <c r="A22" t="s">
        <v>421</v>
      </c>
      <c r="B22" t="s">
        <v>5</v>
      </c>
      <c r="C22" t="s">
        <v>425</v>
      </c>
    </row>
    <row r="23" spans="1:3" x14ac:dyDescent="0.25">
      <c r="A23" t="s">
        <v>421</v>
      </c>
      <c r="B23" t="s">
        <v>6</v>
      </c>
      <c r="C23" t="s">
        <v>425</v>
      </c>
    </row>
    <row r="24" spans="1:3" x14ac:dyDescent="0.25">
      <c r="A24" t="s">
        <v>421</v>
      </c>
      <c r="B24" t="s">
        <v>7</v>
      </c>
      <c r="C24" t="s">
        <v>425</v>
      </c>
    </row>
    <row r="25" spans="1:3" x14ac:dyDescent="0.25">
      <c r="A25" t="s">
        <v>421</v>
      </c>
      <c r="B25" t="s">
        <v>8</v>
      </c>
      <c r="C25" t="s">
        <v>425</v>
      </c>
    </row>
    <row r="26" spans="1:3" x14ac:dyDescent="0.25">
      <c r="A26" t="s">
        <v>421</v>
      </c>
      <c r="B26" t="s">
        <v>9</v>
      </c>
      <c r="C26" t="s">
        <v>425</v>
      </c>
    </row>
    <row r="27" spans="1:3" x14ac:dyDescent="0.25">
      <c r="A27" t="s">
        <v>421</v>
      </c>
      <c r="B27" t="s">
        <v>10</v>
      </c>
      <c r="C27" t="s">
        <v>425</v>
      </c>
    </row>
    <row r="28" spans="1:3" x14ac:dyDescent="0.25">
      <c r="A28" t="s">
        <v>421</v>
      </c>
      <c r="B28" t="s">
        <v>11</v>
      </c>
      <c r="C28" t="s">
        <v>425</v>
      </c>
    </row>
    <row r="29" spans="1:3" x14ac:dyDescent="0.25">
      <c r="A29" t="s">
        <v>421</v>
      </c>
      <c r="B29" t="s">
        <v>12</v>
      </c>
      <c r="C29" t="s">
        <v>425</v>
      </c>
    </row>
    <row r="30" spans="1:3" x14ac:dyDescent="0.25">
      <c r="A30" t="s">
        <v>421</v>
      </c>
      <c r="B30" t="s">
        <v>13</v>
      </c>
      <c r="C30" t="s">
        <v>428</v>
      </c>
    </row>
    <row r="31" spans="1:3" x14ac:dyDescent="0.25">
      <c r="A31" t="s">
        <v>421</v>
      </c>
      <c r="B31" t="s">
        <v>14</v>
      </c>
      <c r="C31" t="s">
        <v>425</v>
      </c>
    </row>
    <row r="32" spans="1:3" x14ac:dyDescent="0.25">
      <c r="A32" t="s">
        <v>421</v>
      </c>
      <c r="B32" t="s">
        <v>15</v>
      </c>
      <c r="C32" t="s">
        <v>425</v>
      </c>
    </row>
    <row r="33" spans="1:3" x14ac:dyDescent="0.25">
      <c r="A33" t="s">
        <v>421</v>
      </c>
      <c r="B33" t="s">
        <v>16</v>
      </c>
      <c r="C33" t="s">
        <v>425</v>
      </c>
    </row>
    <row r="34" spans="1:3" x14ac:dyDescent="0.25">
      <c r="A34" t="s">
        <v>429</v>
      </c>
      <c r="B34" t="s">
        <v>0</v>
      </c>
      <c r="C34" t="s">
        <v>425</v>
      </c>
    </row>
    <row r="35" spans="1:3" x14ac:dyDescent="0.25">
      <c r="A35" t="s">
        <v>429</v>
      </c>
      <c r="B35" t="s">
        <v>1</v>
      </c>
      <c r="C35" t="s">
        <v>425</v>
      </c>
    </row>
    <row r="36" spans="1:3" x14ac:dyDescent="0.25">
      <c r="A36" t="s">
        <v>429</v>
      </c>
      <c r="B36" t="s">
        <v>2</v>
      </c>
      <c r="C36" t="s">
        <v>425</v>
      </c>
    </row>
    <row r="37" spans="1:3" x14ac:dyDescent="0.25">
      <c r="A37" t="s">
        <v>429</v>
      </c>
      <c r="B37" t="s">
        <v>191</v>
      </c>
      <c r="C37" t="s">
        <v>425</v>
      </c>
    </row>
    <row r="38" spans="1:3" x14ac:dyDescent="0.25">
      <c r="A38" t="s">
        <v>429</v>
      </c>
      <c r="B38" t="s">
        <v>192</v>
      </c>
      <c r="C38" t="s">
        <v>426</v>
      </c>
    </row>
    <row r="39" spans="1:3" x14ac:dyDescent="0.25">
      <c r="A39" t="s">
        <v>429</v>
      </c>
      <c r="B39" t="s">
        <v>193</v>
      </c>
      <c r="C39" t="s">
        <v>425</v>
      </c>
    </row>
    <row r="40" spans="1:3" x14ac:dyDescent="0.25">
      <c r="A40" t="s">
        <v>429</v>
      </c>
      <c r="B40" t="s">
        <v>194</v>
      </c>
      <c r="C40" t="s">
        <v>426</v>
      </c>
    </row>
    <row r="41" spans="1:3" x14ac:dyDescent="0.25">
      <c r="A41" t="s">
        <v>429</v>
      </c>
      <c r="B41" t="s">
        <v>195</v>
      </c>
      <c r="C41" t="s">
        <v>425</v>
      </c>
    </row>
    <row r="42" spans="1:3" x14ac:dyDescent="0.25">
      <c r="A42" t="s">
        <v>429</v>
      </c>
      <c r="B42" t="s">
        <v>196</v>
      </c>
      <c r="C42" t="s">
        <v>426</v>
      </c>
    </row>
    <row r="43" spans="1:3" x14ac:dyDescent="0.25">
      <c r="A43" t="s">
        <v>429</v>
      </c>
      <c r="B43" t="s">
        <v>197</v>
      </c>
      <c r="C43" t="s">
        <v>430</v>
      </c>
    </row>
    <row r="44" spans="1:3" x14ac:dyDescent="0.25">
      <c r="A44" t="s">
        <v>431</v>
      </c>
      <c r="B44" t="s">
        <v>0</v>
      </c>
      <c r="C44" t="s">
        <v>425</v>
      </c>
    </row>
    <row r="45" spans="1:3" x14ac:dyDescent="0.25">
      <c r="A45" t="s">
        <v>431</v>
      </c>
      <c r="B45" t="s">
        <v>1</v>
      </c>
      <c r="C45" t="s">
        <v>425</v>
      </c>
    </row>
    <row r="46" spans="1:3" x14ac:dyDescent="0.25">
      <c r="A46" t="s">
        <v>431</v>
      </c>
      <c r="B46" t="s">
        <v>2</v>
      </c>
      <c r="C46" t="s">
        <v>425</v>
      </c>
    </row>
    <row r="47" spans="1:3" x14ac:dyDescent="0.25">
      <c r="A47" t="s">
        <v>431</v>
      </c>
      <c r="B47" t="s">
        <v>6</v>
      </c>
      <c r="C47" t="s">
        <v>425</v>
      </c>
    </row>
    <row r="48" spans="1:3" x14ac:dyDescent="0.25">
      <c r="A48" t="s">
        <v>431</v>
      </c>
      <c r="B48" t="s">
        <v>209</v>
      </c>
      <c r="C48" t="s">
        <v>426</v>
      </c>
    </row>
    <row r="49" spans="1:3" x14ac:dyDescent="0.25">
      <c r="A49" t="s">
        <v>431</v>
      </c>
      <c r="B49" t="s">
        <v>15</v>
      </c>
      <c r="C49" t="s">
        <v>425</v>
      </c>
    </row>
    <row r="50" spans="1:3" x14ac:dyDescent="0.25">
      <c r="A50" t="s">
        <v>432</v>
      </c>
      <c r="B50" t="s">
        <v>0</v>
      </c>
      <c r="C50" t="s">
        <v>425</v>
      </c>
    </row>
    <row r="51" spans="1:3" x14ac:dyDescent="0.25">
      <c r="A51" t="s">
        <v>432</v>
      </c>
      <c r="B51" t="s">
        <v>1</v>
      </c>
      <c r="C51" t="s">
        <v>425</v>
      </c>
    </row>
    <row r="52" spans="1:3" x14ac:dyDescent="0.25">
      <c r="A52" t="s">
        <v>432</v>
      </c>
      <c r="B52" t="s">
        <v>2</v>
      </c>
      <c r="C52" t="s">
        <v>425</v>
      </c>
    </row>
    <row r="53" spans="1:3" x14ac:dyDescent="0.25">
      <c r="A53" t="s">
        <v>433</v>
      </c>
      <c r="B53" t="s">
        <v>0</v>
      </c>
      <c r="C53" t="s">
        <v>425</v>
      </c>
    </row>
    <row r="54" spans="1:3" x14ac:dyDescent="0.25">
      <c r="A54" t="s">
        <v>433</v>
      </c>
      <c r="B54" t="s">
        <v>1</v>
      </c>
      <c r="C54" t="s">
        <v>425</v>
      </c>
    </row>
    <row r="55" spans="1:3" x14ac:dyDescent="0.25">
      <c r="A55" t="s">
        <v>433</v>
      </c>
      <c r="B55" t="s">
        <v>2</v>
      </c>
      <c r="C55" t="s">
        <v>425</v>
      </c>
    </row>
    <row r="56" spans="1:3" x14ac:dyDescent="0.25">
      <c r="A56" t="s">
        <v>434</v>
      </c>
      <c r="B56" t="s">
        <v>0</v>
      </c>
      <c r="C56" t="s">
        <v>425</v>
      </c>
    </row>
    <row r="57" spans="1:3" x14ac:dyDescent="0.25">
      <c r="A57" t="s">
        <v>434</v>
      </c>
      <c r="B57" t="s">
        <v>1</v>
      </c>
      <c r="C57" t="s">
        <v>425</v>
      </c>
    </row>
    <row r="58" spans="1:3" x14ac:dyDescent="0.25">
      <c r="A58" t="s">
        <v>434</v>
      </c>
      <c r="B58" t="s">
        <v>255</v>
      </c>
      <c r="C58" t="s">
        <v>425</v>
      </c>
    </row>
    <row r="59" spans="1:3" x14ac:dyDescent="0.25">
      <c r="A59" t="s">
        <v>434</v>
      </c>
      <c r="B59" t="s">
        <v>256</v>
      </c>
      <c r="C59" t="s">
        <v>425</v>
      </c>
    </row>
    <row r="60" spans="1:3" x14ac:dyDescent="0.25">
      <c r="A60" t="s">
        <v>434</v>
      </c>
      <c r="B60" t="s">
        <v>2</v>
      </c>
      <c r="C60" t="s">
        <v>425</v>
      </c>
    </row>
    <row r="61" spans="1:3" x14ac:dyDescent="0.25">
      <c r="A61" t="s">
        <v>434</v>
      </c>
      <c r="B61" t="s">
        <v>257</v>
      </c>
      <c r="C61" t="s">
        <v>425</v>
      </c>
    </row>
    <row r="62" spans="1:3" x14ac:dyDescent="0.25">
      <c r="A62" t="s">
        <v>434</v>
      </c>
      <c r="B62" t="s">
        <v>258</v>
      </c>
      <c r="C62" t="s">
        <v>425</v>
      </c>
    </row>
    <row r="63" spans="1:3" x14ac:dyDescent="0.25">
      <c r="A63" t="s">
        <v>434</v>
      </c>
      <c r="B63" t="s">
        <v>259</v>
      </c>
      <c r="C63" t="s">
        <v>426</v>
      </c>
    </row>
    <row r="64" spans="1:3" x14ac:dyDescent="0.25">
      <c r="A64" t="s">
        <v>434</v>
      </c>
      <c r="B64" t="s">
        <v>260</v>
      </c>
      <c r="C64" t="s">
        <v>425</v>
      </c>
    </row>
    <row r="65" spans="1:3" x14ac:dyDescent="0.25">
      <c r="A65" t="s">
        <v>434</v>
      </c>
      <c r="B65" t="s">
        <v>261</v>
      </c>
      <c r="C65" t="s">
        <v>426</v>
      </c>
    </row>
    <row r="66" spans="1:3" x14ac:dyDescent="0.25">
      <c r="A66" t="s">
        <v>434</v>
      </c>
      <c r="B66" t="s">
        <v>16</v>
      </c>
      <c r="C66" t="s">
        <v>428</v>
      </c>
    </row>
    <row r="67" spans="1:3" x14ac:dyDescent="0.25">
      <c r="A67" t="s">
        <v>435</v>
      </c>
      <c r="B67" t="s">
        <v>0</v>
      </c>
      <c r="C67" t="s">
        <v>425</v>
      </c>
    </row>
    <row r="68" spans="1:3" x14ac:dyDescent="0.25">
      <c r="A68" t="s">
        <v>435</v>
      </c>
      <c r="B68" t="s">
        <v>1</v>
      </c>
      <c r="C68" t="s">
        <v>425</v>
      </c>
    </row>
    <row r="69" spans="1:3" x14ac:dyDescent="0.25">
      <c r="A69" t="s">
        <v>435</v>
      </c>
      <c r="B69" t="s">
        <v>359</v>
      </c>
      <c r="C69" t="s">
        <v>425</v>
      </c>
    </row>
    <row r="70" spans="1:3" x14ac:dyDescent="0.25">
      <c r="A70" t="s">
        <v>435</v>
      </c>
      <c r="B70" t="s">
        <v>360</v>
      </c>
      <c r="C70" t="s">
        <v>425</v>
      </c>
    </row>
    <row r="71" spans="1:3" x14ac:dyDescent="0.25">
      <c r="A71" t="s">
        <v>435</v>
      </c>
      <c r="B71" t="s">
        <v>361</v>
      </c>
      <c r="C71" t="s">
        <v>425</v>
      </c>
    </row>
    <row r="72" spans="1:3" x14ac:dyDescent="0.25">
      <c r="A72" t="s">
        <v>435</v>
      </c>
      <c r="B72" t="s">
        <v>362</v>
      </c>
      <c r="C72" t="s">
        <v>426</v>
      </c>
    </row>
    <row r="73" spans="1:3" x14ac:dyDescent="0.25">
      <c r="A73" t="s">
        <v>435</v>
      </c>
      <c r="B73" t="s">
        <v>363</v>
      </c>
      <c r="C73" t="s">
        <v>428</v>
      </c>
    </row>
    <row r="74" spans="1:3" x14ac:dyDescent="0.25">
      <c r="A74" t="s">
        <v>435</v>
      </c>
      <c r="B74" t="s">
        <v>364</v>
      </c>
      <c r="C74" t="s">
        <v>425</v>
      </c>
    </row>
    <row r="75" spans="1:3" x14ac:dyDescent="0.25">
      <c r="A75" t="s">
        <v>435</v>
      </c>
      <c r="B75" t="s">
        <v>365</v>
      </c>
      <c r="C75" t="s">
        <v>425</v>
      </c>
    </row>
    <row r="76" spans="1:3" x14ac:dyDescent="0.25">
      <c r="A76" t="s">
        <v>435</v>
      </c>
      <c r="B76" t="s">
        <v>16</v>
      </c>
      <c r="C76" t="s">
        <v>428</v>
      </c>
    </row>
  </sheetData>
  <conditionalFormatting sqref="B16">
    <cfRule type="containsText" dxfId="4" priority="1" operator="containsText" text="aether">
      <formula>NOT(ISERROR(SEARCH("aether",B16)))</formula>
    </cfRule>
    <cfRule type="containsText" dxfId="3" priority="2" operator="containsText" text="breach">
      <formula>NOT(ISERROR(SEARCH("breach",B16)))</formula>
    </cfRule>
    <cfRule type="containsText" dxfId="2" priority="3" operator="containsText" text="bio">
      <formula>NOT(ISERROR(SEARCH("bio",B16)))</formula>
    </cfRule>
    <cfRule type="containsText" dxfId="1" priority="4" operator="containsText" text="industry">
      <formula>NOT(ISERROR(SEARCH("industry",B16)))</formula>
    </cfRule>
    <cfRule type="containsText" dxfId="0" priority="5" operator="containsText" text="bastion">
      <formula>NOT(ISERROR(SEARCH("bastion",B16)))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 tint="0.39997558519241921"/>
  </sheetPr>
  <dimension ref="A1:G22"/>
  <sheetViews>
    <sheetView workbookViewId="0">
      <pane ySplit="1" topLeftCell="A2" activePane="bottomLeft" state="frozen"/>
      <selection pane="bottomLeft" sqref="A1:C1"/>
    </sheetView>
  </sheetViews>
  <sheetFormatPr defaultRowHeight="15" x14ac:dyDescent="0.25"/>
  <cols>
    <col min="1" max="1" width="22.28515625" customWidth="1"/>
    <col min="2" max="2" width="22.140625" customWidth="1"/>
    <col min="3" max="3" width="61.42578125" bestFit="1" customWidth="1"/>
    <col min="4" max="4" width="38.7109375" customWidth="1"/>
    <col min="5" max="5" width="16.42578125" bestFit="1" customWidth="1"/>
    <col min="6" max="6" width="16.42578125" customWidth="1"/>
    <col min="7" max="7" width="19.7109375" customWidth="1"/>
  </cols>
  <sheetData>
    <row r="1" spans="1:7" x14ac:dyDescent="0.25">
      <c r="A1" s="4" t="s">
        <v>0</v>
      </c>
      <c r="B1" s="4" t="s">
        <v>1</v>
      </c>
      <c r="C1" s="4" t="s">
        <v>257</v>
      </c>
      <c r="D1" s="4" t="s">
        <v>260</v>
      </c>
      <c r="E1" s="4" t="s">
        <v>436</v>
      </c>
      <c r="F1" s="4" t="s">
        <v>437</v>
      </c>
      <c r="G1" s="4" t="s">
        <v>364</v>
      </c>
    </row>
    <row r="2" spans="1:7" x14ac:dyDescent="0.25">
      <c r="A2" t="s">
        <v>262</v>
      </c>
      <c r="B2" t="str">
        <f t="shared" ref="B2:B22" si="0">PROPER(SUBSTITUTE(A2,"_"," "))</f>
        <v>Inedible Mess</v>
      </c>
      <c r="C2" t="s">
        <v>265</v>
      </c>
      <c r="D2" t="s">
        <v>267</v>
      </c>
      <c r="E2" s="2">
        <v>-5</v>
      </c>
      <c r="F2">
        <v>4</v>
      </c>
      <c r="G2" t="s">
        <v>438</v>
      </c>
    </row>
    <row r="3" spans="1:7" x14ac:dyDescent="0.25">
      <c r="A3" t="s">
        <v>268</v>
      </c>
      <c r="B3" t="str">
        <f t="shared" si="0"/>
        <v>Disappointing Plate</v>
      </c>
      <c r="C3" t="s">
        <v>271</v>
      </c>
      <c r="D3" t="s">
        <v>273</v>
      </c>
      <c r="E3" s="2">
        <v>-2</v>
      </c>
      <c r="F3">
        <v>4</v>
      </c>
      <c r="G3" t="s">
        <v>438</v>
      </c>
    </row>
    <row r="4" spans="1:7" x14ac:dyDescent="0.25">
      <c r="A4" t="s">
        <v>274</v>
      </c>
      <c r="B4" t="str">
        <f t="shared" si="0"/>
        <v>Plain But Filling</v>
      </c>
      <c r="C4" t="s">
        <v>277</v>
      </c>
      <c r="D4" t="s">
        <v>279</v>
      </c>
      <c r="E4" s="2">
        <v>1</v>
      </c>
      <c r="F4">
        <v>4</v>
      </c>
      <c r="G4" t="s">
        <v>438</v>
      </c>
    </row>
    <row r="5" spans="1:7" x14ac:dyDescent="0.25">
      <c r="A5" t="s">
        <v>280</v>
      </c>
      <c r="B5" t="str">
        <f t="shared" si="0"/>
        <v>Solid Meal</v>
      </c>
      <c r="C5" t="s">
        <v>283</v>
      </c>
      <c r="D5" t="s">
        <v>285</v>
      </c>
      <c r="E5" s="2">
        <v>3</v>
      </c>
      <c r="F5">
        <v>4</v>
      </c>
      <c r="G5" t="s">
        <v>438</v>
      </c>
    </row>
    <row r="6" spans="1:7" x14ac:dyDescent="0.25">
      <c r="A6" t="s">
        <v>286</v>
      </c>
      <c r="B6" t="str">
        <f t="shared" si="0"/>
        <v>Memorable Feast</v>
      </c>
      <c r="C6" t="s">
        <v>289</v>
      </c>
      <c r="D6" t="s">
        <v>291</v>
      </c>
      <c r="E6" s="2">
        <v>7</v>
      </c>
      <c r="F6">
        <v>4</v>
      </c>
      <c r="G6" t="s">
        <v>438</v>
      </c>
    </row>
    <row r="7" spans="1:7" x14ac:dyDescent="0.25">
      <c r="A7" t="s">
        <v>439</v>
      </c>
      <c r="B7" t="str">
        <f t="shared" si="0"/>
        <v>Communal Spirit</v>
      </c>
      <c r="C7" t="s">
        <v>440</v>
      </c>
      <c r="D7" t="s">
        <v>441</v>
      </c>
      <c r="E7" s="2">
        <v>1</v>
      </c>
      <c r="F7">
        <v>6</v>
      </c>
      <c r="G7" t="s">
        <v>442</v>
      </c>
    </row>
    <row r="8" spans="1:7" x14ac:dyDescent="0.25">
      <c r="A8" t="s">
        <v>292</v>
      </c>
      <c r="B8" t="str">
        <f t="shared" si="0"/>
        <v>Standing Supper</v>
      </c>
      <c r="C8" t="s">
        <v>294</v>
      </c>
      <c r="D8" t="s">
        <v>295</v>
      </c>
      <c r="E8" s="2">
        <v>-1</v>
      </c>
      <c r="F8">
        <v>3</v>
      </c>
      <c r="G8" t="s">
        <v>443</v>
      </c>
    </row>
    <row r="9" spans="1:7" x14ac:dyDescent="0.25">
      <c r="A9" t="s">
        <v>296</v>
      </c>
      <c r="B9" t="str">
        <f t="shared" si="0"/>
        <v>Visibly Unimpressed</v>
      </c>
      <c r="C9" t="s">
        <v>444</v>
      </c>
      <c r="D9" t="s">
        <v>301</v>
      </c>
      <c r="E9" s="2">
        <v>-1</v>
      </c>
      <c r="F9">
        <v>4</v>
      </c>
      <c r="G9" t="s">
        <v>187</v>
      </c>
    </row>
    <row r="10" spans="1:7" x14ac:dyDescent="0.25">
      <c r="A10" t="s">
        <v>302</v>
      </c>
      <c r="B10" t="str">
        <f t="shared" si="0"/>
        <v>Passable Surroundings</v>
      </c>
      <c r="C10" t="s">
        <v>445</v>
      </c>
      <c r="D10" t="s">
        <v>306</v>
      </c>
      <c r="E10" s="2">
        <v>1</v>
      </c>
      <c r="F10">
        <v>4</v>
      </c>
      <c r="G10" t="s">
        <v>187</v>
      </c>
    </row>
    <row r="11" spans="1:7" x14ac:dyDescent="0.25">
      <c r="A11" t="s">
        <v>307</v>
      </c>
      <c r="B11" t="str">
        <f t="shared" si="0"/>
        <v>Pleasant Ambience</v>
      </c>
      <c r="C11" t="s">
        <v>446</v>
      </c>
      <c r="D11" t="s">
        <v>310</v>
      </c>
      <c r="E11" s="2">
        <v>2</v>
      </c>
      <c r="F11">
        <v>4</v>
      </c>
      <c r="G11" t="s">
        <v>187</v>
      </c>
    </row>
    <row r="12" spans="1:7" x14ac:dyDescent="0.25">
      <c r="A12" t="s">
        <v>311</v>
      </c>
      <c r="B12" t="str">
        <f t="shared" si="0"/>
        <v>Tasteful Trim</v>
      </c>
      <c r="C12" t="s">
        <v>447</v>
      </c>
      <c r="D12" t="s">
        <v>314</v>
      </c>
      <c r="E12" s="2">
        <v>4</v>
      </c>
      <c r="F12">
        <v>4</v>
      </c>
      <c r="G12" t="s">
        <v>187</v>
      </c>
    </row>
    <row r="13" spans="1:7" x14ac:dyDescent="0.25">
      <c r="A13" t="s">
        <v>315</v>
      </c>
      <c r="B13" t="str">
        <f t="shared" si="0"/>
        <v>Stunned By Splendor</v>
      </c>
      <c r="C13" t="s">
        <v>448</v>
      </c>
      <c r="D13" t="s">
        <v>318</v>
      </c>
      <c r="E13" s="2">
        <v>7</v>
      </c>
      <c r="F13">
        <v>4</v>
      </c>
      <c r="G13" t="s">
        <v>187</v>
      </c>
    </row>
    <row r="14" spans="1:7" x14ac:dyDescent="0.25">
      <c r="A14" t="s">
        <v>319</v>
      </c>
      <c r="B14" t="str">
        <f t="shared" si="0"/>
        <v>Perched On Pine</v>
      </c>
      <c r="C14" t="s">
        <v>449</v>
      </c>
      <c r="D14" t="s">
        <v>324</v>
      </c>
      <c r="E14" s="2">
        <v>-1</v>
      </c>
      <c r="F14">
        <v>4</v>
      </c>
      <c r="G14" t="s">
        <v>450</v>
      </c>
    </row>
    <row r="15" spans="1:7" ht="15.95" customHeight="1" x14ac:dyDescent="0.25">
      <c r="A15" t="s">
        <v>451</v>
      </c>
      <c r="B15" t="str">
        <f t="shared" si="0"/>
        <v>Comfy Seat</v>
      </c>
      <c r="C15" t="s">
        <v>452</v>
      </c>
      <c r="D15" t="s">
        <v>330</v>
      </c>
      <c r="E15" s="2">
        <v>2</v>
      </c>
      <c r="F15">
        <v>4</v>
      </c>
      <c r="G15" t="s">
        <v>450</v>
      </c>
    </row>
    <row r="16" spans="1:7" x14ac:dyDescent="0.25">
      <c r="A16" t="s">
        <v>331</v>
      </c>
      <c r="B16" t="str">
        <f t="shared" si="0"/>
        <v>Well Cushioned</v>
      </c>
      <c r="C16" t="s">
        <v>453</v>
      </c>
      <c r="D16" t="s">
        <v>334</v>
      </c>
      <c r="E16" s="2">
        <v>4</v>
      </c>
      <c r="F16">
        <v>4</v>
      </c>
      <c r="G16" t="s">
        <v>450</v>
      </c>
    </row>
    <row r="17" spans="1:7" x14ac:dyDescent="0.25">
      <c r="A17" t="s">
        <v>335</v>
      </c>
      <c r="B17" t="str">
        <f t="shared" si="0"/>
        <v>Restless Night</v>
      </c>
      <c r="C17" t="s">
        <v>454</v>
      </c>
      <c r="E17" s="2">
        <v>-1</v>
      </c>
      <c r="F17">
        <v>8</v>
      </c>
      <c r="G17" t="s">
        <v>455</v>
      </c>
    </row>
    <row r="18" spans="1:7" x14ac:dyDescent="0.25">
      <c r="A18" t="s">
        <v>340</v>
      </c>
      <c r="B18" t="str">
        <f t="shared" si="0"/>
        <v>Sound Sleep</v>
      </c>
      <c r="C18" t="s">
        <v>456</v>
      </c>
      <c r="E18" s="2">
        <v>2</v>
      </c>
      <c r="F18">
        <v>8</v>
      </c>
      <c r="G18" t="s">
        <v>455</v>
      </c>
    </row>
    <row r="19" spans="1:7" x14ac:dyDescent="0.25">
      <c r="A19" t="s">
        <v>345</v>
      </c>
      <c r="B19" t="str">
        <f t="shared" si="0"/>
        <v>Cloud Nine</v>
      </c>
      <c r="C19" t="s">
        <v>457</v>
      </c>
      <c r="E19" s="2">
        <v>4</v>
      </c>
      <c r="F19">
        <v>8</v>
      </c>
      <c r="G19" t="s">
        <v>455</v>
      </c>
    </row>
    <row r="20" spans="1:7" x14ac:dyDescent="0.25">
      <c r="A20" t="s">
        <v>355</v>
      </c>
      <c r="B20" t="str">
        <f t="shared" si="0"/>
        <v>Debug Low Happiness</v>
      </c>
      <c r="C20" t="s">
        <v>356</v>
      </c>
      <c r="E20" s="2">
        <v>5</v>
      </c>
      <c r="F20">
        <v>999</v>
      </c>
      <c r="G20" t="s">
        <v>458</v>
      </c>
    </row>
    <row r="21" spans="1:7" x14ac:dyDescent="0.25">
      <c r="A21" t="s">
        <v>357</v>
      </c>
      <c r="B21" t="str">
        <f t="shared" si="0"/>
        <v>Debug Medium Happiness</v>
      </c>
      <c r="C21" t="s">
        <v>356</v>
      </c>
      <c r="E21" s="2">
        <v>10</v>
      </c>
      <c r="F21">
        <v>999</v>
      </c>
      <c r="G21" t="s">
        <v>458</v>
      </c>
    </row>
    <row r="22" spans="1:7" x14ac:dyDescent="0.25">
      <c r="A22" t="s">
        <v>358</v>
      </c>
      <c r="B22" t="str">
        <f t="shared" si="0"/>
        <v>Debug High Happiness</v>
      </c>
      <c r="C22" t="s">
        <v>356</v>
      </c>
      <c r="E22" s="2">
        <v>20</v>
      </c>
      <c r="F22">
        <v>999</v>
      </c>
      <c r="G22" t="s">
        <v>458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 tint="0.39997558519241921"/>
  </sheetPr>
  <dimension ref="A1:K25"/>
  <sheetViews>
    <sheetView workbookViewId="0">
      <pane ySplit="1" topLeftCell="A2" activePane="bottomLeft" state="frozen"/>
      <selection sqref="A1:C1"/>
      <selection pane="bottomLeft" sqref="A1:C1"/>
    </sheetView>
  </sheetViews>
  <sheetFormatPr defaultRowHeight="15" x14ac:dyDescent="0.25"/>
  <cols>
    <col min="1" max="1" width="22.28515625" customWidth="1"/>
    <col min="2" max="5" width="22.140625" customWidth="1"/>
    <col min="6" max="6" width="53.5703125" customWidth="1"/>
    <col min="7" max="7" width="28.7109375" customWidth="1"/>
    <col min="8" max="8" width="15" customWidth="1"/>
    <col min="9" max="9" width="16.140625" customWidth="1"/>
    <col min="10" max="10" width="16.42578125" bestFit="1" customWidth="1"/>
    <col min="11" max="11" width="19.7109375" customWidth="1"/>
  </cols>
  <sheetData>
    <row r="1" spans="1:11" x14ac:dyDescent="0.25">
      <c r="A1" s="4" t="s">
        <v>0</v>
      </c>
      <c r="B1" s="4" t="s">
        <v>1</v>
      </c>
      <c r="C1" s="4" t="s">
        <v>255</v>
      </c>
      <c r="D1" s="4" t="s">
        <v>459</v>
      </c>
      <c r="E1" s="4" t="s">
        <v>2</v>
      </c>
      <c r="F1" s="4" t="s">
        <v>257</v>
      </c>
      <c r="G1" s="4" t="s">
        <v>258</v>
      </c>
      <c r="H1" s="4" t="s">
        <v>259</v>
      </c>
      <c r="I1" s="4" t="s">
        <v>260</v>
      </c>
      <c r="J1" s="4" t="s">
        <v>436</v>
      </c>
      <c r="K1" s="4" t="s">
        <v>364</v>
      </c>
    </row>
    <row r="2" spans="1:11" x14ac:dyDescent="0.25">
      <c r="A2" t="s">
        <v>262</v>
      </c>
      <c r="B2" t="str">
        <f t="shared" ref="B2:B21" si="0">PROPER(SUBSTITUTE(A2,"_"," "))</f>
        <v>Inedible Mess</v>
      </c>
      <c r="F2" t="s">
        <v>265</v>
      </c>
      <c r="G2" t="s">
        <v>266</v>
      </c>
      <c r="H2">
        <v>1</v>
      </c>
      <c r="I2" t="s">
        <v>267</v>
      </c>
      <c r="J2" s="2">
        <v>-5</v>
      </c>
      <c r="K2" t="s">
        <v>438</v>
      </c>
    </row>
    <row r="3" spans="1:11" x14ac:dyDescent="0.25">
      <c r="A3" t="s">
        <v>268</v>
      </c>
      <c r="B3" t="str">
        <f t="shared" si="0"/>
        <v>Disappointing Plate</v>
      </c>
      <c r="F3" t="s">
        <v>271</v>
      </c>
      <c r="G3" t="s">
        <v>272</v>
      </c>
      <c r="H3">
        <v>1</v>
      </c>
      <c r="I3" t="s">
        <v>273</v>
      </c>
      <c r="J3" s="2">
        <v>-2</v>
      </c>
      <c r="K3" t="s">
        <v>438</v>
      </c>
    </row>
    <row r="4" spans="1:11" x14ac:dyDescent="0.25">
      <c r="A4" t="s">
        <v>274</v>
      </c>
      <c r="B4" t="str">
        <f t="shared" si="0"/>
        <v>Plain But Filling</v>
      </c>
      <c r="F4" t="s">
        <v>277</v>
      </c>
      <c r="G4" t="s">
        <v>278</v>
      </c>
      <c r="H4">
        <v>1</v>
      </c>
      <c r="I4" t="s">
        <v>279</v>
      </c>
      <c r="J4" s="2">
        <v>1</v>
      </c>
      <c r="K4" t="s">
        <v>438</v>
      </c>
    </row>
    <row r="5" spans="1:11" x14ac:dyDescent="0.25">
      <c r="A5" t="s">
        <v>280</v>
      </c>
      <c r="B5" t="str">
        <f t="shared" si="0"/>
        <v>Solid Meal</v>
      </c>
      <c r="F5" t="s">
        <v>283</v>
      </c>
      <c r="G5" t="s">
        <v>284</v>
      </c>
      <c r="H5">
        <v>1</v>
      </c>
      <c r="I5" t="s">
        <v>285</v>
      </c>
      <c r="J5" s="2">
        <v>3</v>
      </c>
      <c r="K5" t="s">
        <v>438</v>
      </c>
    </row>
    <row r="6" spans="1:11" x14ac:dyDescent="0.25">
      <c r="A6" t="s">
        <v>286</v>
      </c>
      <c r="B6" t="str">
        <f t="shared" si="0"/>
        <v>Memorable Feast</v>
      </c>
      <c r="F6" t="s">
        <v>289</v>
      </c>
      <c r="G6" t="s">
        <v>290</v>
      </c>
      <c r="H6">
        <v>1</v>
      </c>
      <c r="I6" t="s">
        <v>291</v>
      </c>
      <c r="J6" s="2">
        <v>7</v>
      </c>
      <c r="K6" t="s">
        <v>438</v>
      </c>
    </row>
    <row r="7" spans="1:11" x14ac:dyDescent="0.25">
      <c r="A7" t="s">
        <v>439</v>
      </c>
      <c r="B7" t="str">
        <f t="shared" si="0"/>
        <v>Communal Spirit</v>
      </c>
      <c r="F7" t="s">
        <v>440</v>
      </c>
      <c r="I7" t="s">
        <v>441</v>
      </c>
      <c r="J7" s="2">
        <v>1</v>
      </c>
      <c r="K7" t="s">
        <v>442</v>
      </c>
    </row>
    <row r="8" spans="1:11" x14ac:dyDescent="0.25">
      <c r="A8" t="s">
        <v>292</v>
      </c>
      <c r="B8" t="str">
        <f t="shared" si="0"/>
        <v>Standing Supper</v>
      </c>
      <c r="F8" t="s">
        <v>294</v>
      </c>
      <c r="I8" t="s">
        <v>295</v>
      </c>
      <c r="J8" s="2">
        <v>-1</v>
      </c>
      <c r="K8" t="s">
        <v>443</v>
      </c>
    </row>
    <row r="9" spans="1:11" x14ac:dyDescent="0.25">
      <c r="A9" t="s">
        <v>296</v>
      </c>
      <c r="B9" t="str">
        <f t="shared" si="0"/>
        <v>Visibly Unimpressed</v>
      </c>
      <c r="C9" t="s">
        <v>297</v>
      </c>
      <c r="F9" t="s">
        <v>444</v>
      </c>
      <c r="G9" t="s">
        <v>460</v>
      </c>
      <c r="H9">
        <v>250</v>
      </c>
      <c r="I9" t="s">
        <v>301</v>
      </c>
      <c r="J9" s="2">
        <v>-1</v>
      </c>
      <c r="K9" t="s">
        <v>187</v>
      </c>
    </row>
    <row r="10" spans="1:11" x14ac:dyDescent="0.25">
      <c r="A10" t="s">
        <v>302</v>
      </c>
      <c r="B10" t="str">
        <f t="shared" si="0"/>
        <v>Passable Surroundings</v>
      </c>
      <c r="C10" t="s">
        <v>303</v>
      </c>
      <c r="F10" t="s">
        <v>445</v>
      </c>
      <c r="G10" t="s">
        <v>460</v>
      </c>
      <c r="H10">
        <v>500</v>
      </c>
      <c r="I10" t="s">
        <v>306</v>
      </c>
      <c r="J10" s="2">
        <v>1</v>
      </c>
      <c r="K10" t="s">
        <v>187</v>
      </c>
    </row>
    <row r="11" spans="1:11" x14ac:dyDescent="0.25">
      <c r="A11" t="s">
        <v>307</v>
      </c>
      <c r="B11" t="str">
        <f t="shared" si="0"/>
        <v>Pleasant Ambience</v>
      </c>
      <c r="C11" t="s">
        <v>303</v>
      </c>
      <c r="F11" t="s">
        <v>446</v>
      </c>
      <c r="G11" t="s">
        <v>460</v>
      </c>
      <c r="H11">
        <v>1000</v>
      </c>
      <c r="I11" t="s">
        <v>310</v>
      </c>
      <c r="J11" s="2">
        <v>2</v>
      </c>
      <c r="K11" t="s">
        <v>187</v>
      </c>
    </row>
    <row r="12" spans="1:11" x14ac:dyDescent="0.25">
      <c r="A12" t="s">
        <v>311</v>
      </c>
      <c r="B12" t="str">
        <f t="shared" si="0"/>
        <v>Tasteful Trim</v>
      </c>
      <c r="C12" t="s">
        <v>303</v>
      </c>
      <c r="F12" t="s">
        <v>447</v>
      </c>
      <c r="G12" t="s">
        <v>460</v>
      </c>
      <c r="H12">
        <v>1750</v>
      </c>
      <c r="I12" t="s">
        <v>314</v>
      </c>
      <c r="J12" s="2">
        <v>4</v>
      </c>
      <c r="K12" t="s">
        <v>187</v>
      </c>
    </row>
    <row r="13" spans="1:11" x14ac:dyDescent="0.25">
      <c r="A13" t="s">
        <v>315</v>
      </c>
      <c r="B13" t="str">
        <f t="shared" si="0"/>
        <v>Stunned By Splendor</v>
      </c>
      <c r="C13" t="s">
        <v>303</v>
      </c>
      <c r="F13" t="s">
        <v>448</v>
      </c>
      <c r="G13" t="s">
        <v>460</v>
      </c>
      <c r="H13">
        <v>3000</v>
      </c>
      <c r="I13" t="s">
        <v>318</v>
      </c>
      <c r="J13" s="2">
        <v>7</v>
      </c>
      <c r="K13" t="s">
        <v>187</v>
      </c>
    </row>
    <row r="14" spans="1:11" x14ac:dyDescent="0.25">
      <c r="A14" t="s">
        <v>319</v>
      </c>
      <c r="B14" t="str">
        <f t="shared" si="0"/>
        <v>Perched On Pine</v>
      </c>
      <c r="C14" t="s">
        <v>320</v>
      </c>
      <c r="D14">
        <v>1</v>
      </c>
      <c r="E14" t="s">
        <v>321</v>
      </c>
      <c r="F14" t="s">
        <v>322</v>
      </c>
      <c r="G14" t="s">
        <v>323</v>
      </c>
      <c r="H14">
        <v>100</v>
      </c>
      <c r="I14" t="s">
        <v>324</v>
      </c>
      <c r="J14" s="2">
        <v>-2</v>
      </c>
      <c r="K14" t="s">
        <v>450</v>
      </c>
    </row>
    <row r="15" spans="1:11" ht="15.95" customHeight="1" x14ac:dyDescent="0.25">
      <c r="A15" t="s">
        <v>451</v>
      </c>
      <c r="B15" t="str">
        <f t="shared" si="0"/>
        <v>Comfy Seat</v>
      </c>
      <c r="C15" t="s">
        <v>461</v>
      </c>
      <c r="D15">
        <v>1</v>
      </c>
      <c r="E15" t="s">
        <v>462</v>
      </c>
      <c r="F15" t="s">
        <v>452</v>
      </c>
      <c r="G15" t="s">
        <v>463</v>
      </c>
      <c r="H15">
        <v>120</v>
      </c>
      <c r="I15" t="s">
        <v>330</v>
      </c>
      <c r="J15" s="2">
        <v>2</v>
      </c>
      <c r="K15" t="s">
        <v>450</v>
      </c>
    </row>
    <row r="16" spans="1:11" x14ac:dyDescent="0.25">
      <c r="A16" t="s">
        <v>331</v>
      </c>
      <c r="B16" t="str">
        <f t="shared" si="0"/>
        <v>Well Cushioned</v>
      </c>
      <c r="C16" t="s">
        <v>461</v>
      </c>
      <c r="D16">
        <v>2</v>
      </c>
      <c r="E16" t="s">
        <v>464</v>
      </c>
      <c r="F16" t="s">
        <v>453</v>
      </c>
      <c r="G16" t="s">
        <v>463</v>
      </c>
      <c r="H16">
        <v>240</v>
      </c>
      <c r="I16" t="s">
        <v>334</v>
      </c>
      <c r="J16" s="2">
        <v>4</v>
      </c>
      <c r="K16" t="s">
        <v>450</v>
      </c>
    </row>
    <row r="17" spans="1:11" x14ac:dyDescent="0.25">
      <c r="A17" t="s">
        <v>335</v>
      </c>
      <c r="B17" t="str">
        <f t="shared" si="0"/>
        <v>Restless Night</v>
      </c>
      <c r="C17" t="s">
        <v>336</v>
      </c>
      <c r="D17">
        <v>1</v>
      </c>
      <c r="F17" t="s">
        <v>454</v>
      </c>
      <c r="G17" t="s">
        <v>465</v>
      </c>
      <c r="H17">
        <v>120</v>
      </c>
      <c r="J17" s="2">
        <v>-1</v>
      </c>
      <c r="K17" t="s">
        <v>455</v>
      </c>
    </row>
    <row r="18" spans="1:11" x14ac:dyDescent="0.25">
      <c r="A18" t="s">
        <v>340</v>
      </c>
      <c r="B18" t="str">
        <f t="shared" si="0"/>
        <v>Sound Sleep</v>
      </c>
      <c r="C18" t="s">
        <v>341</v>
      </c>
      <c r="D18">
        <v>1</v>
      </c>
      <c r="F18" t="s">
        <v>456</v>
      </c>
      <c r="G18" t="s">
        <v>465</v>
      </c>
      <c r="H18">
        <v>240</v>
      </c>
      <c r="J18" s="2">
        <v>2</v>
      </c>
      <c r="K18" t="s">
        <v>455</v>
      </c>
    </row>
    <row r="19" spans="1:11" x14ac:dyDescent="0.25">
      <c r="A19" t="s">
        <v>345</v>
      </c>
      <c r="B19" t="str">
        <f t="shared" si="0"/>
        <v>Cloud Nine</v>
      </c>
      <c r="C19" t="s">
        <v>341</v>
      </c>
      <c r="D19">
        <v>2</v>
      </c>
      <c r="F19" t="s">
        <v>457</v>
      </c>
      <c r="G19" t="s">
        <v>465</v>
      </c>
      <c r="H19">
        <v>500</v>
      </c>
      <c r="J19" s="2">
        <v>4</v>
      </c>
      <c r="K19" t="s">
        <v>455</v>
      </c>
    </row>
    <row r="20" spans="1:11" x14ac:dyDescent="0.25">
      <c r="A20" t="s">
        <v>348</v>
      </c>
      <c r="B20" t="str">
        <f t="shared" si="0"/>
        <v>Hungry</v>
      </c>
      <c r="C20" t="s">
        <v>349</v>
      </c>
      <c r="F20" t="s">
        <v>351</v>
      </c>
      <c r="G20" t="s">
        <v>323</v>
      </c>
      <c r="H20">
        <v>180</v>
      </c>
      <c r="J20" s="2">
        <v>-2</v>
      </c>
    </row>
    <row r="21" spans="1:11" x14ac:dyDescent="0.25">
      <c r="A21" t="s">
        <v>352</v>
      </c>
      <c r="B21" t="str">
        <f t="shared" si="0"/>
        <v>Starving</v>
      </c>
      <c r="C21" t="s">
        <v>349</v>
      </c>
      <c r="F21" t="s">
        <v>354</v>
      </c>
      <c r="G21" t="s">
        <v>323</v>
      </c>
      <c r="H21">
        <v>500</v>
      </c>
      <c r="J21" s="2">
        <v>-4</v>
      </c>
    </row>
    <row r="22" spans="1:11" x14ac:dyDescent="0.25">
      <c r="J22" s="2"/>
    </row>
    <row r="23" spans="1:11" x14ac:dyDescent="0.25">
      <c r="A23" t="s">
        <v>355</v>
      </c>
      <c r="B23" t="str">
        <f>PROPER(SUBSTITUTE(A23,"_"," "))</f>
        <v>Debug Low Happiness</v>
      </c>
      <c r="F23" t="s">
        <v>356</v>
      </c>
      <c r="J23" s="2">
        <v>5</v>
      </c>
      <c r="K23" t="s">
        <v>458</v>
      </c>
    </row>
    <row r="24" spans="1:11" x14ac:dyDescent="0.25">
      <c r="A24" t="s">
        <v>357</v>
      </c>
      <c r="B24" t="str">
        <f>PROPER(SUBSTITUTE(A24,"_"," "))</f>
        <v>Debug Medium Happiness</v>
      </c>
      <c r="F24" t="s">
        <v>356</v>
      </c>
      <c r="J24" s="2">
        <v>10</v>
      </c>
      <c r="K24" t="s">
        <v>458</v>
      </c>
    </row>
    <row r="25" spans="1:11" x14ac:dyDescent="0.25">
      <c r="A25" t="s">
        <v>358</v>
      </c>
      <c r="B25" t="str">
        <f>PROPER(SUBSTITUTE(A25,"_"," "))</f>
        <v>Debug High Happiness</v>
      </c>
      <c r="F25" t="s">
        <v>356</v>
      </c>
      <c r="J25" s="2">
        <v>20</v>
      </c>
      <c r="K25" t="s">
        <v>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rooms</vt:lpstr>
      <vt:lpstr>objects</vt:lpstr>
      <vt:lpstr>objects_OLD</vt:lpstr>
      <vt:lpstr>recipes</vt:lpstr>
      <vt:lpstr>foods</vt:lpstr>
      <vt:lpstr>room_tags</vt:lpstr>
      <vt:lpstr>actions</vt:lpstr>
      <vt:lpstr>memories</vt:lpstr>
      <vt:lpstr>statuses</vt:lpstr>
      <vt:lpstr>guests</vt:lpstr>
      <vt:lpstr>staff</vt:lpstr>
      <vt:lpstr>traits</vt:lpstr>
      <vt:lpstr>input</vt:lpstr>
      <vt:lpstr>schema</vt:lpstr>
      <vt:lpstr>statuses_OLD</vt:lpstr>
      <vt:lpstr>memories_OLD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2026-08-07T14:48:44Z</dcterms:modified>
</cp:coreProperties>
</file>